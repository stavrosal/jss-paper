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0CEF4E22-12EB-4003-811F-FCCF03F078D5}" xr6:coauthVersionLast="47" xr6:coauthVersionMax="47" xr10:uidLastSave="{00000000-0000-0000-0000-000000000000}"/>
  <bookViews>
    <workbookView xWindow="-120" yWindow="-120" windowWidth="38640" windowHeight="21240" xr2:uid="{00000000-000D-0000-FFFF-FFFF00000000}"/>
  </bookViews>
  <sheets>
    <sheet name="dataset" sheetId="4" r:id="rId1"/>
    <sheet name="dataset_RQ1" sheetId="1" r:id="rId2"/>
    <sheet name="dataset_RQ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01" i="3" l="1"/>
  <c r="AB101" i="3"/>
  <c r="V101" i="3"/>
  <c r="P101" i="3"/>
  <c r="J101" i="3"/>
  <c r="H101" i="3"/>
  <c r="AB100" i="3"/>
  <c r="V100" i="3"/>
  <c r="P100" i="3"/>
  <c r="J100" i="3"/>
  <c r="AH99" i="3"/>
  <c r="AB99" i="3"/>
  <c r="V99" i="3"/>
  <c r="P99" i="3"/>
  <c r="J99" i="3"/>
  <c r="H99" i="3"/>
  <c r="AH98" i="3"/>
  <c r="AB98" i="3"/>
  <c r="V98" i="3"/>
  <c r="P98" i="3"/>
  <c r="J98" i="3"/>
  <c r="AH97" i="3"/>
  <c r="AB97" i="3"/>
  <c r="V97" i="3"/>
  <c r="P97" i="3"/>
  <c r="N97" i="3"/>
  <c r="J97" i="3"/>
  <c r="H97" i="3"/>
  <c r="AH96" i="3"/>
  <c r="AB96" i="3"/>
  <c r="V96" i="3"/>
  <c r="P96" i="3"/>
  <c r="J96" i="3"/>
  <c r="AH95" i="3"/>
  <c r="AB95" i="3"/>
  <c r="Z95" i="3"/>
  <c r="V95" i="3"/>
  <c r="T95" i="3"/>
  <c r="P95" i="3"/>
  <c r="J95" i="3"/>
  <c r="H95" i="3"/>
  <c r="AH94" i="3"/>
  <c r="AB94" i="3"/>
  <c r="V94" i="3"/>
  <c r="P94" i="3"/>
  <c r="J94" i="3"/>
  <c r="AH93" i="3"/>
  <c r="AB93" i="3"/>
  <c r="V93" i="3"/>
  <c r="P93" i="3"/>
  <c r="J93" i="3"/>
  <c r="AH92" i="3"/>
  <c r="AB92" i="3"/>
  <c r="V92" i="3"/>
  <c r="P92" i="3"/>
  <c r="J92" i="3"/>
  <c r="G92" i="3"/>
  <c r="AH71" i="3"/>
  <c r="AB71" i="3"/>
  <c r="V71" i="3"/>
  <c r="P71" i="3"/>
  <c r="J71" i="3"/>
  <c r="G71" i="3"/>
  <c r="AH70" i="3"/>
  <c r="AB70" i="3"/>
  <c r="V70" i="3"/>
  <c r="P70" i="3"/>
  <c r="N70" i="3"/>
  <c r="J70" i="3"/>
  <c r="AH69" i="3"/>
  <c r="AB69" i="3"/>
  <c r="V69" i="3"/>
  <c r="P69" i="3"/>
  <c r="J69" i="3"/>
  <c r="H69" i="3"/>
  <c r="AH68" i="3"/>
  <c r="AB68" i="3"/>
  <c r="V68" i="3"/>
  <c r="P68" i="3"/>
  <c r="J68" i="3"/>
  <c r="AH67" i="3"/>
  <c r="AF67" i="3"/>
  <c r="AB67" i="3"/>
  <c r="V67" i="3"/>
  <c r="P67" i="3"/>
  <c r="N67" i="3"/>
  <c r="J67" i="3"/>
  <c r="AH66" i="3"/>
  <c r="AB66" i="3"/>
  <c r="V66" i="3"/>
  <c r="P66" i="3"/>
  <c r="J66" i="3"/>
  <c r="AB65" i="3"/>
  <c r="Z65" i="3"/>
  <c r="V65" i="3"/>
  <c r="P65" i="3"/>
  <c r="J65" i="3"/>
  <c r="H65" i="3"/>
  <c r="AH64" i="3"/>
  <c r="AB64" i="3"/>
  <c r="V64" i="3"/>
  <c r="P64" i="3"/>
  <c r="J64" i="3"/>
  <c r="H64" i="3"/>
  <c r="AH63" i="3"/>
  <c r="AB63" i="3"/>
  <c r="V63" i="3"/>
  <c r="P63" i="3"/>
  <c r="J63" i="3"/>
  <c r="G63" i="3"/>
  <c r="AH62" i="3"/>
  <c r="AB62" i="3"/>
  <c r="V62" i="3"/>
  <c r="P62" i="3"/>
  <c r="J62" i="3"/>
  <c r="AH61" i="3"/>
  <c r="AB61" i="3"/>
  <c r="V61" i="3"/>
  <c r="P61" i="3"/>
  <c r="J61" i="3"/>
  <c r="G61" i="3"/>
  <c r="AH60" i="3"/>
  <c r="AB60" i="3"/>
  <c r="V60" i="3"/>
  <c r="P60" i="3"/>
  <c r="N60" i="3"/>
  <c r="J60" i="3"/>
  <c r="AH59" i="3"/>
  <c r="AF59" i="3"/>
  <c r="AB59" i="3"/>
  <c r="V59" i="3"/>
  <c r="P59" i="3"/>
  <c r="J59" i="3"/>
  <c r="H59" i="3"/>
  <c r="AH58" i="3"/>
  <c r="AB58" i="3"/>
  <c r="V58" i="3"/>
  <c r="P58" i="3"/>
  <c r="J58" i="3"/>
  <c r="AH57" i="3"/>
  <c r="AB57" i="3"/>
  <c r="V57" i="3"/>
  <c r="P57" i="3"/>
  <c r="N57" i="3"/>
  <c r="J57" i="3"/>
  <c r="AH56" i="3"/>
  <c r="AB56" i="3"/>
  <c r="V56" i="3"/>
  <c r="P56" i="3"/>
  <c r="J56" i="3"/>
  <c r="AH55" i="3"/>
  <c r="AB55" i="3"/>
  <c r="Z55" i="3"/>
  <c r="V55" i="3"/>
  <c r="P55" i="3"/>
  <c r="J55" i="3"/>
  <c r="H55" i="3"/>
  <c r="AH54" i="3"/>
  <c r="AB54" i="3"/>
  <c r="V54" i="3"/>
  <c r="P54" i="3"/>
  <c r="J54" i="3"/>
  <c r="H54" i="3"/>
  <c r="AH53" i="3"/>
  <c r="AB53" i="3"/>
  <c r="V53" i="3"/>
  <c r="P53" i="3"/>
  <c r="J53" i="3"/>
  <c r="H53" i="3"/>
  <c r="G53" i="3"/>
  <c r="AH52" i="3"/>
  <c r="AB52" i="3"/>
  <c r="V52" i="3"/>
  <c r="P52" i="3"/>
  <c r="J52" i="3"/>
  <c r="AH31" i="3"/>
  <c r="AB31" i="3"/>
  <c r="V31" i="3"/>
  <c r="P31" i="3"/>
  <c r="J31" i="3"/>
  <c r="G31" i="3"/>
  <c r="AH30" i="3"/>
  <c r="AF30" i="3"/>
  <c r="AB30" i="3"/>
  <c r="Z30" i="3"/>
  <c r="V30" i="3"/>
  <c r="P30" i="3"/>
  <c r="J30" i="3"/>
  <c r="AH29" i="3"/>
  <c r="AB29" i="3"/>
  <c r="V29" i="3"/>
  <c r="P29" i="3"/>
  <c r="N29" i="3"/>
  <c r="J29" i="3"/>
  <c r="H29" i="3"/>
  <c r="AH28" i="3"/>
  <c r="AB28" i="3"/>
  <c r="V28" i="3"/>
  <c r="P28" i="3"/>
  <c r="J28" i="3"/>
  <c r="AH27" i="3"/>
  <c r="AB27" i="3"/>
  <c r="Z27" i="3"/>
  <c r="V27" i="3"/>
  <c r="P27" i="3"/>
  <c r="N27" i="3"/>
  <c r="J27" i="3"/>
  <c r="H27" i="3"/>
  <c r="AH26" i="3"/>
  <c r="AB26" i="3"/>
  <c r="V26" i="3"/>
  <c r="P26" i="3"/>
  <c r="J26" i="3"/>
  <c r="AH25" i="3"/>
  <c r="AB25" i="3"/>
  <c r="Z25" i="3"/>
  <c r="V25" i="3"/>
  <c r="T25" i="3"/>
  <c r="P25" i="3"/>
  <c r="N25" i="3"/>
  <c r="J25" i="3"/>
  <c r="H25" i="3"/>
  <c r="AH24" i="3"/>
  <c r="AB24" i="3"/>
  <c r="Z24" i="3"/>
  <c r="V24" i="3"/>
  <c r="T24" i="3"/>
  <c r="P24" i="3"/>
  <c r="N24" i="3"/>
  <c r="J24" i="3"/>
  <c r="H24" i="3"/>
  <c r="AH23" i="3"/>
  <c r="AB23" i="3"/>
  <c r="V23" i="3"/>
  <c r="P23" i="3"/>
  <c r="J23" i="3"/>
  <c r="H23" i="3"/>
  <c r="AH22" i="3"/>
  <c r="AB22" i="3"/>
  <c r="V22" i="3"/>
  <c r="P22" i="3"/>
  <c r="J22" i="3"/>
  <c r="AH21" i="3"/>
  <c r="AB21" i="3"/>
  <c r="V21" i="3"/>
  <c r="P21" i="3"/>
  <c r="J21" i="3"/>
  <c r="AH20" i="3"/>
  <c r="AB20" i="3"/>
  <c r="Z20" i="3"/>
  <c r="V20" i="3"/>
  <c r="P20" i="3"/>
  <c r="J20" i="3"/>
  <c r="H20" i="3"/>
  <c r="AH19" i="3"/>
  <c r="AB19" i="3"/>
  <c r="V19" i="3"/>
  <c r="P19" i="3"/>
  <c r="J19" i="3"/>
  <c r="H19" i="3"/>
  <c r="AH18" i="3"/>
  <c r="AB18" i="3"/>
  <c r="V18" i="3"/>
  <c r="P18" i="3"/>
  <c r="J18" i="3"/>
  <c r="AH17" i="3"/>
  <c r="AB17" i="3"/>
  <c r="V17" i="3"/>
  <c r="P17" i="3"/>
  <c r="J17" i="3"/>
  <c r="AH16" i="3"/>
  <c r="AB16" i="3"/>
  <c r="V16" i="3"/>
  <c r="P16" i="3"/>
  <c r="J16" i="3"/>
  <c r="AH15" i="3"/>
  <c r="AB15" i="3"/>
  <c r="V15" i="3"/>
  <c r="P15" i="3"/>
  <c r="J15" i="3"/>
  <c r="H15" i="3"/>
  <c r="AH14" i="3"/>
  <c r="AB14" i="3"/>
  <c r="V14" i="3"/>
  <c r="T14" i="3"/>
  <c r="P14" i="3"/>
  <c r="J14" i="3"/>
  <c r="H14" i="3"/>
  <c r="AH13" i="3"/>
  <c r="AB13" i="3"/>
  <c r="V13" i="3"/>
  <c r="P13" i="3"/>
  <c r="J13" i="3"/>
  <c r="AH12" i="3"/>
  <c r="AB12" i="3"/>
  <c r="V12" i="3"/>
  <c r="P12" i="3"/>
  <c r="J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DDEBF2-D661-4F92-8693-0CE6990B5CCB}"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<sst xmlns="http://schemas.openxmlformats.org/spreadsheetml/2006/main" count="1558" uniqueCount="456">
  <si>
    <t>ID1</t>
  </si>
  <si>
    <t>GenAI</t>
  </si>
  <si>
    <t>DP_AF2</t>
  </si>
  <si>
    <t>Duplicate Code,Speculative Generality, Primitive Obsession,  Class Explosion,  Lack of Cohesion</t>
  </si>
  <si>
    <t>Lines of Code (LOC), Cyclomatic Complexity (CC), Number of Classes (NOC), Cohesion , Coupling, Maintainability Index (MI), Depth of Inheritance Tree (DIT)</t>
  </si>
  <si>
    <t>Single Responsibility Principle (SRP) , Open/Closed Principle (OCP), DRY , Factory Method Pattern, Strategy Pattern</t>
  </si>
  <si>
    <t xml:space="preserve">Add a new type of employee (e.g., "Salesperson")Description:We want to add employees who work in the store and interact with the clothes. Each employee can:Recommend clothes to customers based on style (Vintage/Modern). Print the clothes they recommend. Customized clothing itemsThe employee can work with a general Clothes object without needing to know the specific classes (VintageShirt, ModernPants, etc.). Ease of creation through FactoryThe employee can create clothes based on parameters (type and style) without knowing the internal details of the classes. Flexibility for future expansionIf we want to add other employees (e.g., Tailor, Designer) or functions (e.g., filters by season), the system is already ready.
</t>
  </si>
  <si>
    <t>ID2</t>
  </si>
  <si>
    <t>human</t>
  </si>
  <si>
    <t>DP_AF1</t>
  </si>
  <si>
    <t>I don't know anything about Java</t>
  </si>
  <si>
    <t>ID3</t>
  </si>
  <si>
    <t xml:space="preserve">1) Code duplicates in the printInfo() methods.2) The addShirt and addPants methods in the Shop class accept any Clothes object, while the class names suggest that they should only accept Shirt and Pants, respectively.3) There is no piece of code that enforces the rule that a store selling modern clothing cannot sell vintage clothing (and vice versa).4) Each class overrides the printInfo() method, but the same abstract method is repeated in each intermediate abstract class (Clothes, Shirt, Pants).
</t>
  </si>
  <si>
    <t>Below 1 corresponds to the 1st Bad Smell, 2 to the 2nd and so on.
1) -Lines of Code increases.
     -Cyclomatic Complexity increases.
     -The Maintainability Index is reduced.
2) -Cohesion is reduced.
    -Coupling increases. 
3) -Cohesion is reduced.
4) -The Depth of Inheritance Tree increases.
    -The Understandability of the code is reduced.
    -Coupling increases.</t>
  </si>
  <si>
    <t>One design principle that could be applied to this code is the Open/Closed Principle, i.e. that software entities should be open for extension but closed for modification.</t>
  </si>
  <si>
    <t>A possible extension of the system is to divide clothes into those that are available for sale and those that are in stock. That is, to implement a Logistics system. The purpose of the OCP design principle is to be able to add new code without having to modify the already existing functions. Therefore, we do the above extension without having to tamper with the class codes anywhere, so our program is less prone to errors. In conclusion, OCP helps to keep the main code stable and easily scalable while minimizing risk.</t>
  </si>
  <si>
    <t>ID4</t>
  </si>
  <si>
    <t>The duplicate code phenomenon occurs frequently because most classes relate to players and contain identical methods. There is also feature envy; the Game class has two identical methods.</t>
  </si>
  <si>
    <t>The NOC and DIT metrics are affected as there are many inheritance relationships (one class may also inherit from 2 others). At the same time, CBO is affected because all classes are conjugated to the Game class.</t>
  </si>
  <si>
    <t>Abstract factory pattern so that there is no need to make separate classes for each type of player of a different game or in general.</t>
  </si>
  <si>
    <t>I don't have time to apologize!!</t>
  </si>
  <si>
    <t>ID5</t>
  </si>
  <si>
    <t xml:space="preserve">1. Violation of Single Responsibility Principle (SRP) – Shop class
The Shop class has only one list (clothing) that stores all clothes, without checking whether they belong to the store type (Modern or Vintage). There is no separation of responsibility for checking the type of clothing.
Problem: The Shop can contain both Modern and Vintage clothing at the same time, even though the comment says that each store should only sell one type of clothing.
2. Lack of Type Safety – addShirt and addPants methods
The addShirt and addPants methods take Clothes type parameters, so there is no guarantee that the object we pass is actually a Shirt or Pants.
 3. Duplicated Abstract Methods
Each subclass of Clothes re-declares printInfo() as abstract, even though it already exists in Clothes.
4. Lack of Type Restriction on Shop (no use of Generics)
The Shop class does not distinguish the type of clothing it sells (Modern or Vintage).
 5. Primitive Type Naming (String in output)
printInfo() only returns System.out.println(...) with hardcoded Strings. If someone wanted localization or formatting, there is no flexibility.
</t>
  </si>
  <si>
    <t>1. Cohesion
It is negatively affected due to the low consistency in the Shop class. There is no separation of responsibilities (e.g. Vintage vs Modern).
Symptom: The same class handles multiple types of data without control.
2. Coupling
The absence of type or control (e.g. generic constraints) leads to high coupling: Shop depends on all Clothes subclasses, without explicitly stating which ones.
If a subclass is changed, the Shop can be affected.
3. Cyclomatic Complexity
Although the circuit complexity of the code seems low now, in the future it will increase significantly if type checks are added (e.g. if (c instance of VintageShirt)), because there is no clear separation.
4. Depth of Inheritance Tree (DIT)
The Clothes -&gt; Shirt/Pants -&gt; VintageShirt/etc. hierarchy increases the DIT.
DIT is not necessarily bad, but if the inheritance is deep and unclear, it leads to difficulty understanding and maintenance.
5. Lack of Cohesion in Methods (LCOM)
The Shop class has the addShirt() and addPants() methods, which are not directly related to each other, but handle different types without clear consistency.
6. Maintainability Index
This indicator is influenced by the complexity and structure of the code. The absence of press checks, the generality of the Shop, and errors in the hierarchy reduce maintainability.
7. Reusability
Because the Shop is generic and does not limit the type of clothing, it cannot be easily reused for Vintage or Modern without risk.
8. Robustness
The code allows the addition of the wrong type (e.g., vintageShop.addShirt(new ModernShirt())), which reduces the reliability of the system.</t>
  </si>
  <si>
    <t>Factory Method Pattern</t>
  </si>
  <si>
    <t>Potential Expansion: Adding Employees to the Store
Let's say we want to expand the system to support employees who work in the store, with roles such as:
Cashier (Treasurer)
StockManager (Storekeeper)
Salesperson
Each employee may have different responsibilities, e.g.:
Cashier processes payments.
The StockManager manages the inventory.
The Salesperson suggests clothes based on the type of store (Vintage or Modern).
💡 How the existing architecture helps:
The proposed architecture, using abstract factories, interface-based programming, and generalizations, offers great flexibility and scalability.</t>
  </si>
  <si>
    <t>ID6</t>
  </si>
  <si>
    <t>I find the following:
1) Object-Orientation Abusers, specifically using a different class for each character type (2 characters 2 game-modes, total 7 classes) 
2) Parallel Inheritance Hierarchies
3) Dispensables, no comments but it's very small and code so it doesn't affect understanding
4) Duplicate Code, addArcher() and addKnight</t>
  </si>
  <si>
    <t>NOC - there are classes that should not have subclasses 
DIT - too big for FPS/MMO-Archer/Knight classes
NPM - duplicate method in the game class</t>
  </si>
  <si>
    <t>Design Pattern: Composite and Abstract Factory</t>
  </si>
  <si>
    <t>Front of a new weapon or game type</t>
  </si>
  <si>
    <t>ID7</t>
  </si>
  <si>
    <t>1. Lack of Type Safety in Shop Class (Violation of Shop Type Constraint)
 2. Redundant printInfo() Overrides
 3. Shop.addShirt() and addPants() Have Same Logic
4. Deep Inheritance Hierarchy
 5. MainClass Lacks Any Output or Interaction
 6. No Enforcement of Clothing Type Categories</t>
  </si>
  <si>
    <t>CBO LCOM DIT</t>
  </si>
  <si>
    <t>Abstract Factory pattern</t>
  </si>
  <si>
    <t>Possible addition: Add a New Clothing Style — e.g., "Futuristic" Clothing The new solution helps because you can extend the system by adding new factories and products, without modifying existing code.</t>
  </si>
  <si>
    <t>ID8</t>
  </si>
  <si>
    <t>Duplicate Code (addArcher and addKnight perform the same task), Shotgun Surgery (to change the archer/knight's weapon we need to change all the corresponding subclasses), Dead Code (the Archer and Knight subclasses do not implement a function and are "empty")</t>
  </si>
  <si>
    <t>The DIT was reduced by 1 after we removed the mid-tier which had no particular use. Character's NOC increased as all subclasses make straight inherit from it. LCOM was not affected, however in a more complex example with more data, deduplication may have affected it.</t>
  </si>
  <si>
    <t>Subclasses have very common code. We can store the weapon and the character type in the base class Character and the printAbility function formats its message based on them. So the subclasses simply give the appropriate data to their constructor and don't do duplicate work. This is very reminiscent of Template Method. Also in this way we reduce the inheritance hierarchy</t>
  </si>
  <si>
    <t>With the new code, we simply add to the Type enum what is needed. If the character we are adding has more complex behavior that the state of the base class cannot easily express, we can easily make a subclass and override the functions it needs. There is also better type checking: with Genre enum we can prevent the addition of characters that do not fit the game we are making</t>
  </si>
  <si>
    <t>ID9</t>
  </si>
  <si>
    <t>We have different classes that basically do the same thing - at least in this version of the game. the fpsArcher and MmoKnight classes are redundancies as each character in its own game has its own logic and class definition.</t>
  </si>
  <si>
    <t>I have no idea</t>
  </si>
  <si>
    <t>Abstract factory pattern</t>
  </si>
  <si>
    <t>It is easy for the developer to expand the range of player types and write logic for it regardless of the game type, and also expand the game type itself</t>
  </si>
  <si>
    <t>ID10</t>
  </si>
  <si>
    <t xml:space="preserve"> 💡 1. Duplicated Code
There are many implementations of the printInfo() method that repeat almost the same logic:
java
Copy
Edit
System.out.println("A vintage shirt");
System.out.println("A modern shirt");
System.out.println("A vintage pants");
System.out.println("A modern pants");
This code is repetitive and can make maintenance difficult and prone to errors. It could be avoided by using parameters or composition.
💡 2. Excessive Class Hierarchy (Speculative Generality)
The use of abstract classes such as Shirt, Pants, Clothes with printInfo() as the only method seems excessive for such a simple scenario. This hierarchy increases complexity without offering significant advantages.
💡 3. Rigid Design / Low Flexibility
The comment says that a store can only sell one category of clothing (modern or vintage), but there is no mechanism in the design that enforces this. The current architecture does not support the flexible creation of different types of stores with restrictions.
💡 4. Lack of Design Patterns
The scenario could benefit from the use of a simple factory pattern or strategy pattern to avoid if-else or multiple classes for each type combination.
💡 5. Poor Naming / Lack of Explanatory Comments
Although there is an initial comment, documentation for classes and methods is missing. This makes the code less understandable</t>
  </si>
  <si>
    <t>1. LOC (Lines of Code)
Affected: INCREASE
Why: Iterating printInfo() on each class (VintageShirt, ModernShirt, etc.) increases the total number of rows for no substantial reason.
🔄 2. DIT (Depth of Inheritance Tree)
Affected: INCREASE
Why: Having multiple levels of inheritance (e.g., Clothes → Shirt → VintageShirt) increases the depth of the inheritance tree, which makes class behavior harder to understand and maintain.
🔀 3. NOC (Number of Children)
Affected: INCREASE
Why: The Shirt and Pants classes have many subclasses (Modern/Vintage). This suggests that the abstract class is being used as an extension point, but it may not be necessary in such a simple scenario.
🧩 4. Cohesion (Συνοχή Κλάσης)
Affected: DECREASE
Why: Abstract classes (e.g. Shirt, Pants) have only one method (printInfo()), which indicates that their responsibility is not well defined or that they have very low functional coherence.
📉 5. Maintainability Index
Affected: DECREASE
Why: Repetitiveness, depth of inheritance, and absence of structural patterns make code more difficult to maintain and understand.
📐 6. Coupling
Affected: NOT DIRECTLY, but:
If the system is extended without proper templates (e.g., factory or strategy), then dependencies between classes can increase, especially with if-else logic for formulas.
🧱 7. Class Fan-Out Complexity
Affected: POTENTIAL INCREASE
Why: If a customer (e.g. Shop) needs to know about all possible subclasses (ModernShirt, VintageShirt, etc.), then the complexity of the class that handles them increases.</t>
  </si>
  <si>
    <t>1. Single Responsibility Principle (SRP)
What it says: Each class should have only one responsibility.
Problem in the file: Abstract classes (Shirts, Pants) don't have a sufficiently clear responsibility — they only exist to organize other classes.
Improvement: Rethinking the structure so that each class has a clearly defined function.
2. Open/Closed Principle (OCP)
What it says: Classes must be open for expansion but closed for modification.
Problem: If a new type of clothing (e.g. Jacket) is added, many new classes need to be created.
Improvement: Use strategies or composition instead of subclasses.
🧠 Design Patterns
1. Factory Method Pattern
Description: Provides a way to create objects without exposing their exact class.
Application: Creation of a ClothesFactory that returns items of the Clothes type based on genre (vintage/modern) and category (shirt/pants).
Benefit: Elimination of many new commands and lower coupling.
2. Strategy Pattern
Description: Defines a family of algorithms (or behaviors), encapsulates them, and makes them interchangeable.
Application: If the printInfo() method represents a display "strategy", then each formula can have a different display strategy, disconnecting the logic from the implementation of the classes.
Benefit: Flexibility in behavior without a multitude of subclasses.
3. Abstract Factory Pattern (for more complex cases)
Description: Creates families of related or dependent objects without defining the specific classes.
Application: If we want a "ModernShop" that returns ModernShirt and ModernPants, we can use abstract factories.
4. Composition over Inheritance
Principle: We prefer composition over heredity for reuse.
Application: Instead of having subclasses for each type of clothing, we can have a Clothing item that contains its attributes (e.g. type, category) and uses a PrinterStrategy.</t>
  </si>
  <si>
    <t>A sensible and realistic extension is to add store employees with different roles, such as:
✅ New Type: Employee (Employee)
There are different types of employees:
Cashier (cashier): issues receipts.
SalesAssistant: helps customers choose clothes.
Manager: manages orders and staff.
📌 Why does the current design (Factory Pattern) help?
The proposed solution is based on the Factory Method Pattern, and this offers significant advantages in the expansion of the system:
🔄 Principles That Facilitate Expansion
1. Open/Closed Principle
Existing code is open for extension, but closed for modification. To add employees:
There is no need to change existing classes (e.g. Shirt, Pants).
We just add new classes like Employee, Cashier, SalesAssistant, Manager.
2. Scalable Factories
We can extend the Factory system to create employees as well:
java
Transcription
Elaboration
interface ShopFactory {
    Clothes createShirt();
    Clothes createPants();
    Employee createEmployee(String role);
}
Then, ModernClothesFactory or VintageClothesFactory can also implement createEmployee.
3. Low Coupling
Employees can use the products (Clothes) without depending on their subclasses, since we work through the Clothes interface.
📋 Example of Use in Practice
java
Transcription
Elaboration
Employee e = factory.createEmployee("cashier");
e.performDuties(); // "Processing payment..."
✅ Inference
The architecture using the Factory Method Pattern:
Allows plugins without modifying existing code,
Facilitates the management of multiple roles/types,
Increases flexibility and maintainability.</t>
  </si>
  <si>
    <t>Dublicate code: η printAbility(), Data Class, Primitive Obsession, Speculative Generality</t>
  </si>
  <si>
    <t>NOC, CBO, DIT, LCOM</t>
  </si>
  <si>
    <t>SRP, OCP and Factory Method</t>
  </si>
  <si>
    <t>I could add a new player (e.g. Hunter) with a weapon (e.g. Knife) and not have to build many classes.</t>
  </si>
  <si>
    <t>Shotgun Surgery, adding a new garment requires updating many classes. Data Clumps, the list accumulates many types of garments together and causes ambiguity. Duplicate Code, many methods with similar functionality.</t>
  </si>
  <si>
    <t>CBO, due to the close connection of the classes. LOC due to pointless lines of code that have the same functionality and could be collapsed.</t>
  </si>
  <si>
    <t>Single Responsibility Principle (SRP). At the moment, the Shop class handles clothing storage, adding trousers and shirts of any style, and there is no enforcement of style consistency. It would be preferable if there was a separate class for vintage and modern shops.</t>
  </si>
  <si>
    <t>A possible extension may be the addition of a new style of Retro clothing such as RetroShirt and RetroPants.</t>
  </si>
  <si>
    <t>1) There are code duplicates of the printAbility method in various classes
2) There is no code that enforces the rule that an MMO character cannot exist in an FPS game and vice versa.
3) The FPSArcher and FPSKnight classes (and their MMO counterparts) implement the same functionality for different characters in the same game. (Alternative classes with different interfaces).
4) For the Archer/Knight subclasses, we create further FPSArcher/Knight subclasses (and for MMO). In other words, we have Parallel Inheritance Hierarchies.</t>
  </si>
  <si>
    <t>-Code Lines (LOCs) are increasing.
-Increases Interclass Coupling (CBO).
-Increases the Inheritance Tree Depth (DIT).
-There is a low value of the degree of coherence of the methods (LCOM), so there is also a high coherence.</t>
  </si>
  <si>
    <t>One design principle that can be applied to this code is the Open/Closed Principle, i.e. each object should be closed in terms of modification but open for expansion.</t>
  </si>
  <si>
    <t>An additional function can be the addition of a new kind of character, for example Horseman. The OCP technique helps us extend our code in the long run by minimizing the possibility of error.</t>
  </si>
  <si>
    <t>1. Inappropriate Abstraction Hierarchy (Duplicated Abstraction): The abstract classes Shirt and Pants extend Clothes but redundantly declare the printInfo()
2. Feature Envy (Improper Encapsulation in Shop): The Shop class has separate methods addShirt(Clothes c) and addPants(Clothes c) that both perform the same operation: adding a Clothes object to the clothing list
3. Missing Type Safety (No Validation in Shop): The Shop class accepts any Clothes object via addShirt and addPants without validating whether the clothing matches the shop’s type
4. Primitive Obsession (Lack of Clothing Type Representation): The distinction between Vintage and Modern clothing is encoded in class names (VintageShirt, ModernShirt, etc.) rather than as a property of the Clothes class.
5. Incomplete Implementation (Missing Shop Functionality): he Shop class lacks methods to interact with its inventory, such as listing clothes, retrieving clothes, or printing shop information. The MainClass creates shops and adds clothes but doesn’t demonstrate any functionality beyond adding items.
6. Potential for Code Duplication in Future Extensions</t>
  </si>
  <si>
    <t>Coupling (Afferent and Efferent Coupling)
Bad Smells: Feature envy (addShirt, addPants methods) and missing type safety in Shop create high efferent coupling (Ce) as Shop depends on specific Clothes subclasses.
Impact: High Ce due to reliance on VintageShirt, ModernPants, etc.
Refactoring Improvement: A single addClothing method and enum-based Style validation reduce Ce by limiting Shop’s dependencies to one Clothes class.
Cohesion (Lack of Cohesion of Methods - LCOM)
Bad Smells: addShirt and addPants perform identical tasks, lowering cohesion. Incomplete implementation (no inventory methods) makes Shop’s purpose unclear.
Impact: High LCOM as methods don’t share a unified purpose.
Refactoring Improvement: Merging into addClothing and adding printInventory increases cohesion, lowering LCOM.
Complexity (Cyclomatic Complexity)
Bad Smells: Redundant Shirt and Pants abstract classes and duplicated printInfo methods increase complexity.
Impact: Higher complexity due to multiple classes with similar logic.
Refactoring Improvement: A single Clothes class with Style and Category enums simplifies logic, reducing cyclomatic complexity.
Size (Lines of Code, Number of Classes)
Bad Smells: Redundant classes (Shirt, Pants) and potential duplication inflate code size.
Impact: More classes (7 vs. 2 in refactoring) and lines of code.
Refactoring Improvement: Fewer classes and centralized logic reduce code size.
Maintainability (Maintainability Index)
Bad Smells: Primitive obsession, naming issues, and lack of validation make maintenance harder.
Impact: Lower maintainability index due to complexity and poor structure.
Refactoring Improvement: Clearer names, type safety, and simpler hierarchy improve maintainability.</t>
  </si>
  <si>
    <t>Extension 1: Adding Pricing for Clothes
Description: Introduce a pricing system where each clothing item has a price based on its style and category.
How OCP Helps: The Clothes class can be extended with a price attribute in the constructor and enum-based price logic, without modifying Shop’s validation or inventory methods.
How Factory Method Helps: The ClothingFactory can incorporate price calculation in createClothing, keeping pricing logic centralized and decoupled from Shop or MainClass.
Benefits: Both solutions allow adding pricing by extending enums or factory logic, maintaining low coupling and high maintainability.
Extension 2: Adding Inventory Quantity Tracking
Description: Track the quantity of each clothing item in the shop’s inventory.
How OCP Helps: A quantity field can be added to Clothes, and Shop’s addClothing can update quantities without changing its core logic, thanks to enum-based extensibility.
How Factory Method Helps: The factory can create Clothes with initial quantities, isolating quantity logic from client code.
Benefits: The modular design and factory abstraction simplify quantity tracking, enhancing cohesion and scalability.</t>
  </si>
  <si>
    <t xml:space="preserve">Extension 1: Adding a New Clothing Style (e.g., Casual)
Description: Introduce a new clothing style, Casual, for shirts and pants, allowing shops to specialize in Casual clothing.
How OCP Helps: The Style enum can be extended by adding CASUAL without modifying Clothes or Shop. The Shop class’s validation logic (c.getStyle() == shopType) automatically supports the new style.
How Factory Method Helps: The ClothingFactory creates Clothes objects with the new CASUAL style without changing the factory interface or client code, maintaining decoupling.
Extension 2: Adding Employee Roles (e.g., Salesperson)
Description: Add a Salesperson role to manage shop inventory, with methods like restockClothing.
How OCP Helps: A new Employee class with a restockClothing method can interact with Shop’s addClothing without altering Shop, as it’s open for extension.
How Factory Method Helps: The factory can create Clothes for the Salesperson to restock, keeping object creation centralized and decoupled.
</t>
  </si>
  <si>
    <t>1. Classes do not have constructor 
2.FPS,MMO classes do the same job and could be methods instead of classes</t>
  </si>
  <si>
    <t xml:space="preserve">DIT and NOC and CA because we have heredity
</t>
  </si>
  <si>
    <t>Factory Method</t>
  </si>
  <si>
    <t>to add new characters and attributes to them and statistics for each player</t>
  </si>
  <si>
    <t>Although the system is relatively small and follows good practices, we can identify some points that could develop into "bad smells" in larger systems:
Primitive Obsession for Style comparison:
In Shop.addItem(), styles are compared by their names (this.specializedStyle.getName().equals(item.getStyle().getName())). Although Style is an object, the identification logic is based on String. This can be fragile to typos or differences in the case of names that do not indicate a different style.
Lack of equals() and hashCode() in ClothingItem:
The Shop.removeItem(ClothingItem item) method relies on reference equality, as ClothingItem does not override equals() and hashCode(). This means that only the exact same object can be removed, not another object with the same properties. This limits the flexibility of inventory management.
Direct Use of System.out.println() in Base Classes:
Classes such as Shop (e.g., in addItem and removeItem confirmations) and its subclasses ClothingItem (in printInfo()) use System.out.println() directly. This tightly couples the core logic with console output, reducing the reusability of classes in other environments (e.g., web, GUI) and making testing difficult.
Hardcoded Strings for Object Types in printInfo(): Shirt.printInfo() contains the text "Shirt" and Pants.printInfo() contains "Pants." Although this is a minor issue here, in larger systems, changing these texts (e.g., for internationalization) would require modification in every subclass.</t>
  </si>
  <si>
    <t>The above "odors" negatively affect the following code quality metrics:
Maintainability:
Lower due to style comparison via String (changes require attention).
Lower due to hardcoded strings for object types.
Reusability:
Lower for classes that use System.out.println(), as they are tied to the console.
Stability/Durability:
Lower due to style comparison via String (more prone to errors).
Usability of the Shop class:
Reduced due to the reference-based rather than price-based behavior of removeItem.
Coupling:
Highest between the base classes and the console.
Cohesion:
Lower for classes that mix business logic with presentation logic (e.g., printInfo).
Testability:
More difficult to control methods that print directly on the console without output recording mechanisms.</t>
  </si>
  <si>
    <t>To address these points, the following could be implemented:
For "Primitive Obsession" and lack of equals()/hashCode():
Value Object Pattern: Implementation of equals() and hashCode() in the classes Style (in its implementations) and ClothingItem (and its subclasses) based on their properties. This would allow the comparison of specializedStyle.equals(item.getStyle()) and the function of removeItem based on a value.
Singleton Pattern (for Styles): If ModernStyle and VintageStyle are unique and immutable, they could be implemented as Singletons. Then the comparison could be done with specializedStyle == item.getStyle().
For direct use of System.out.println():
Single Responsibility Principle (SRP): The ClothingItem and Shop classes should not be responsible for displaying information. printInfo() could return a String, and the class calling it (e.g. Shop or ClothingShopApp) would take over printing.
Dependency Inversion Principle (DIP): Classes could accept a "Printer" or "Logger" interface as a dependency for output, rather than directly calling System.out.println().
For Hardcoded Object Type Strings:
Method in ClothingItem: Add an abstract method String getItemType() to the ClothingItem, which the subclasses will implement by returning "Shirt", "Pants", etc. printInfo() would use this method.</t>
  </si>
  <si>
    <t>Possible Expansion: Adding a new type of clothing, for example, Jacket.
How the Proposed Solution (the improvements from point 3) helps:
Adding the Jacket class is already relatively easy to the existing system. However, the proposed improvements would make it even smoother and improve overall quality:
If printInfo() returned String (dealing with System.out.println):
Jacket.printInfo() would simply return the String of its description. Jacket wouldn't need to know how this information will be displayed (console, GUI, web). This increases the reusability and versatility of the Jacket. If we later wanted to display the items in a graphical list, Jacket wouldn't need any changes.
If the getItemType() method existed:
Jacket would implement getItemType() by returning "Jacket". printInfo() (either in ClothingItem if it became concrete, or in Jacket) would use this method. This brings together the formula name logic and makes it easier to make changes to the formatting of the output at one point if printInfo were made more generic in ClothingItem.
If Styles were Value Objects or Singletons:
When creating a Jacket, we would give it a Style item. Shop.addItem(jacket) logic would use specializedStyle.equals(jacket.getStyle()) or specializedStyle == jacket.getStyle(). This makes the addition of the Jacket more resistant to potential style comparison errors, improving the quality of the system with which the Jacket interacts.
If ClothingItem implemented equals()/hashCode():
The new Jacket class should also correctly implement equals() and hashCode(). This would ensure that Jacket items can be properly managed based on price in stock (e.g., for removing or checking duplicates), making its integration into the warehouse system more comprehensive.</t>
  </si>
  <si>
    <t>-</t>
  </si>
  <si>
    <t>DIT</t>
  </si>
  <si>
    <t>Abstract Factory Pattern</t>
  </si>
  <si>
    <t>The code you've written contains several code smells—indicators of potential design issues that may hinder maintainability, scalability, or clarity. Here's a breakdown of the bad smells present:
🔧 Code Smells in the Clothing Shop System
1. Type Checking Smell (or Lack of Type Safety)
    Problem: The Shop class is not type-safe. It accepts any Clothes object, regardless of whether it's Vintage or Modern.
    Impact: Violates business rules (a Modern shop could contain Vintage clothes).
    Example:
    Shop shop = new Shop();
    shop.addShirt(new VintageShirt()); // Invalid for a modern shop, but allowed
2. Duplicate Code
    Problem: Each subclass overrides printInfo() with hardcoded strings, which are very similar.
    Impact: Leads to code duplication and makes future maintenance harder.
    Example:
    public void printInfo(){
        System.out.println("A modern shirt");
    }
3. Violation of Open/Closed Principle
    Problem: Adding a new clothing type (e.g., FuturisticClothes) requires modifying existing structures.
    Impact: The system isn't open for extension, but it is open for modification, which is fragile.
4. God Class Smell (Emerging)
    Problem: Shop is responsible for managing and enforcing business rules (which it's currently not doing properly). As logic expands (e.g., checking types), Shop may become bloated.
    Impact: Becomes harder to maintain and reason about.
5. Poor Abstraction
    Problem: The abstraction hierarchy doesn't provide much value. The abstract classes Shirt and Pants just override printInfo() again, but don't define new behavior.
    Impact: Adds complexity without adding flexibility.
6. Inappropriate Naming or Lack of Semantic Clarity
    Problem: The Shop class doesn't convey whether it's a vintage or modern shop.
    Impact: Causes confusion and requires the developer to infer shop type based on what was added to it (not enforced).
7. Lack of Encapsulation of Business Rules
    Problem: The core rule ("a shop can only sell one type of clothes") is not enforced anywhere in the code.
    Impact: Violations of business constraints are possible without compiler or runtime errors.
8. Missing Polymorphism Usage
    Problem: The subclasses are used for message formatting only; polymorphism isn’t being effectively used to simplify logic or behavior.
9. Primitive Obsession (Mild)
    Problem: Instead of encoding clothing type (vintage/modern) as part of the object model, it’s embedded in strings inside the printInfo() method.
10. Inconsistent Method Naming
    Problem: Methods addShirt() and addPants() both accept generic Clothes, not specific types.
    Impact: Confusing interface; method names suggest specificity that’s not actually enforced.</t>
  </si>
  <si>
    <t>Describe which metrics are affected by this change
ChatGPT said:
Refactoring the code using proper design principles significantly impacts several software quality metrics—both internal code quality metrics and object-oriented design metrics.
Here's a breakdown of the metrics affected by the change and how they improve:
🔍 1. Cyclomatic Complexity
Measures: Number of independent paths through a method or class (complex decision logic).
Before: Higher complexity due to multiple subclasses and possible branching when managing styles manually.
After: Lower complexity because style checking is centralized and simplified with enums and one class.
✅ Improved
📦 2. Class Coupling (CBO – Coupling Between Objects)
Measures: Number of other classes a class is coupled to.
Before: Shop had implicit knowledge of VintageShirt, ModernPants, etc.
After: Shop is only coupled to the general Clothes class and enums.
✅ Improved
🔁 3. Code Duplication (Redundancy)
Measures: Repeated logic or code.
Before: 4 classes repeated nearly identical printInfo() methods.
After: A single method in Clothes handles all print logic using data.
✅ Improved
🏗️ 4. Number of Classes (NOC)
Measures: Total number of classes in the system.
Before: 7 classes (VintageShirt, ModernShirt, VintagePants, ModernPants, etc.).
After: 3 main classes (Clothes, Shop, MainClass) + 2 enums.
✅ Reduced → This simplifies maintenance and navigation.
🧬 5. Lack of Cohesion in Methods (LCOM)
Measures: How related the methods in a class are to each other.
Before: Shop might evolve to manage unrelated concerns (inventory, validation, printing).
After: Shop focuses only on managing one style of inventory.
✅ Improved Cohesion
🧩 6. Depth of Inheritance Tree (DIT)
Measures: Maximum depth of class hierarchy.
Before: Clothes → Shirt → ModernShirt (DIT = 3).
After: Flat structure using composition (DIT = 1).
✅ Improved (shallower, easier to understand)
🧪 7. Testability &amp; Maintainability
Measures: How easily the code can be tested or changed.
Before: Each subclass needed to be tested individually; tight coupling made adding features risky.
After: Centralized logic and fewer classes make the system easier to test and extend.
✅ Significantly Improved</t>
  </si>
  <si>
    <t>Describe a possible extension of this system and why this new solution will help it
ChatGPT said:
🔄 Possible Extension of the Clothing Shop System
Let’s explore a realistic extension:
🛍️ Add Support for Multiple Brands, Prices, and Discounts
🧩 New Requirements
Suppose your shop needs to:
Support brands (e.g., Levi’s, Zara, Gucci).
Assign a price to each clothing item.
Allow discounts (e.g., vintage items have 10% off).
Filter clothing based on criteria (e.g., "all modern shirts under $50").
🧠 Why the Refactored Design Helps
The current refactored solution already follows composition over inheritance, which makes it flexible and extensible without modifying the core system. You can simply enhance the Clothes class with more attributes instead of creating more subclasses like DiscountedModernZaraShirt.</t>
  </si>
  <si>
    <t>Redundancy of Abstract Methods: The printInfo() method is declared again in each subclass of Clothes, even though it is already abstract in the superclass. This is unnecessary and makes the code more cumbersome.
Inappropriate Parameter Types: The addShirt() and addPants() methods accept general Clothes objects, even though their names indicate that they should accept Shirt and Pants objects, respectively. This can lead to errors, such as adding pants to a list of shirts.
Lack of Clothing Type Control: There is no mechanism to prevent vintage and modern clothing from being mixed in the same store. This violates the system requirement. Using the Abstract Factory Pattern can solve this problem by ensuring that all clothes in a store belong to the same type.</t>
  </si>
  <si>
    <t>1. Consistency (↓ Low)
Classes like Shop perform multiple and irrelevant roles at the same time.
There is no logical grouping of related functions (e.g., vintage items together).
2. Conjugation (↑ High)
The Shop class is directly dependent on all the specific classes (ModernShirt, VintagePants, etc.).
Any change or addition leads to many modifications to the code.
3. Shelf life (↓ Poor)
Adding a new type of clothing requires changes in many areas of the system.
The responsibility for the correct use of clothing types is left to the developer rather than ensured by the design.
4. Scalability (↓ Weak)
The complexity increases significantly with the addition of new types of clothing or store items.
There is no design pattern that facilitates expansion.
5. Code Repetition (↑ High)
printInfo() is denoted redundantly at each class level when it could be inherited from the base (Clothes).
6. Open/Closed Principle (↓ Violated)
In order to add a new genre (e.g., Futuristic), we need to change existing files, violating this principle.
The system is closed for expansion and open to change — the opposite of what is desired.</t>
  </si>
  <si>
    <t>Abstract class factory</t>
  </si>
  <si>
    <t>1. Coherence (↑ Improved)
Each class now has a clear, focused purpose.
Factory classes create only one type of clothing (modern or vintage), keeping the relevant functionality concentrated.
2. Coupling (↓ Reduced)
The Shop class is no longer directly dependent on specific classes such as VintageShirt or ModernPants.
Instead, it relies on the ClothesFactory interface, reducing interdependence between units.
3. Durability (↑ Improved)
It's easier to expand the system (e.g., add RetroShirt, UrbanPants) just by adding new classes.
No changes to existing classes such as Shop are required.
4. Scalability (↑ Improved)
Adding a new style (e.g., "Futuristic") only requires new factory class and products.
The architecture supports secure and easy expansion.
5. Code Repetition (↓ Reduced)
There are no redundant statements of the printInfo() method in each subclass when it is already inherited from Clothes.
6. Open/Closed Principle (↑ Satisfied)
The system is "open for expansion but closed for modification".
New functionality is added without changing the existing code.</t>
  </si>
  <si>
    <t>repetitive code and does not comply with open closed system conditions</t>
  </si>
  <si>
    <t>Heredity and subclasses are affected</t>
  </si>
  <si>
    <t>DESIGN PRINCIPLE OF OPEN CLOSED</t>
  </si>
  <si>
    <t>Adding a new third character</t>
  </si>
  <si>
    <t>DP_BR2</t>
  </si>
  <si>
    <t>Large class and large method: all functions are performed in Vehicle
Switch statements</t>
  </si>
  <si>
    <t>WMC</t>
  </si>
  <si>
    <t>Open-closed Principle , Abstract Factory, Factory Method</t>
  </si>
  <si>
    <t>i can add more vehicles without touching the Vehicle class just by making new classes that inherit it and I don't need to add if or switch</t>
  </si>
  <si>
    <t>DP_BR1</t>
  </si>
  <si>
    <t>Okay, the following "Bad Smells" (Bad Code Smells) were identified and addressed:
Built-in VAT Logic: Initially, the VAT calculation logic was located directly within the Warehouse class. This made the class less cohesive and more difficult to maintain, as it took on multiple responsibilities.
Direct Dependency on Specific Configuration Implementation: The Warehouse class depended directly on AppConfig to retrieve VAT rates. This reduced the flexibility to change how settings were loaded and made unit testing of Warehouse difficult.
The introduction of the VatService interface and its implementation (AppConfigVatService) corrected these issues, promoting better separation of responsibilities and more flexible design.</t>
  </si>
  <si>
    <t>The addition of the ability to calculate VAT based on the product category, while improving the flexibility of the system, affects some code quality metrics as follows:
Complexity:
Cyclomatic Complexity: The new implementation of VatService (e.g., ItemCategoryAwareVatService) will likely have higher circular complexity, as it will include more rules and conditions for determining the VAT rate. The calcCost method in Warehouse can also increase in complexity slightly if it needs to export the product category.
Cognitive Complexity: Understanding the VAT calculation logic becomes more complex, as it depends on more parameters.
Maintainability:
Maintainability Index: May decrease slightly locally in the new, more complex VatService. However, the overall maintainability of the system can remain good or even improved, because the change is localized and the Warehouse remains decoupled from the VAT implementation details thanks to the VatService interface.
Number of Lines of Code (LOC): Will increase due to the new class of service and possible modifications.
Testability:
The Warehouse remains easily auditable through unit tests, as we can provide a mock implementation of VatService.
The new, more complex ItemCategoryAwareVatService will require more test cases to cover all possible VAT rule combinations.
Coupling &amp; Cohesion:
Pairing: The pairing between Warehouse and the VatService interface remains loose. The new ItemCategoryAwareVatService will be paired with the source of the VAT settings (e.g., AppConfig or a new structure) and possibly with a product category definition.
Consistency: VatService classes remain consistent, focusing solely on VAT calculation.
Despite the potential increase in some complexity metrics, the architecture using the VatService interface ensures that the expansion is done in a way that maintains the overall quality and flexibility of the system. The complexity is limited to the new, specialized service, protecting the rest of the code.</t>
  </si>
  <si>
    <t>To improve the quality of the code, the Strategy Pattern could be applied more consciously.
With the introduction of the VatService interface and its AppConfigVatService implementation, we essentially implemented a form of the Strategy Pattern. Warehouse (the "Context") uses a VatService object (the "Strategy") to determine how VAT is calculated/recovered, allowing different VAT "strategies" to be switched without changing the Warehouse. This improves flexibility and maintenance.</t>
  </si>
  <si>
    <t>A possible extension of the system would be to support different VAT rules depending on the product category (Item Category) in addition to the type of warehouse and the VAT category of the warehouse.
For example, some products (e.g., books, basic necessities) may have special, lower VAT rates regardless of the warehouse's general VAT category.
Because the solution we proposed (with the introduction of VatService) helps to make it easier to implement:
The current architecture with the VatService interface and its AppConfigVatService implementation makes this extension significantly easier:
Flexibility through Abstraction: The Warehouse class depends on the VatService interface and not on a specific implementation. He does not know how VAT is calculated, he simply asks for the rate from vatService.
Easy to Add New Logic:
We could create a new implementation of VatService, e.g., ItemCategoryAwareVatService.
This new class would take as a parameter not only the type of warehouse and the VAT category, but also the category of the specific product (Item).
The logic within this new service could be to consult AppConfig (or a new, more complex source of settings) to find the appropriate VAT rate, taking into account the product category as well.
Minimal Changes to Existing Code:
The Warehouse class would need a slight modification to the calcCost() method to pass the Item (or its category) to the VatService's getVatRate() method.
When creating a Warehouse, we could inject it with an instance of the new ItemCategoryAwareVatService instead of AppConfigVatService.
The rest of Warehouse's logic (inventory management, orders) would remain unchanged.
This shows the power of interface-based design (programming to an interface) and the Open/Closed Principle (open for extension, closed for modification). We can extend the functionality of the system by adding new service implementations without having to extensively modify the existing, tested code.
SOS: I didn't use chatgpt but aistudio with gemini 2.5 pro expiremental (preview) with temperature = 0.3 and top-p = 0.8</t>
  </si>
  <si>
    <t>1) In the moveVehicle method, there are code duplicates along with Switch Statements smell with multiple if/else statements that can be compressed.
2) We have Divergent Change, because if, for example, we add a new vehicle type, we will have to change many methods in many places (one change in the class, many changes in the methods).</t>
  </si>
  <si>
    <t>-Increasing Code Lines (LOC)
- Cyclomatic Complexity increases, due to the many if/else
-Class Response (RFC) is increased</t>
  </si>
  <si>
    <t>A design template that can be applied to the above code is the Polymorphism template.</t>
  </si>
  <si>
    <t>If we decide to add a new type of vehicle (e.g. motorcycle), then with Polymorphism we can make this extension without having to modify the methods invoked by the object of this class.</t>
  </si>
  <si>
    <t>Data Clumps, passing many related parameters together to the constructor, indicates that this data may belong to a separate entity or object. Long Parameter List, the constructor accepts 4 parameters, two of which are simple strings for type and VAT. Inappropriate intimacy, the class directly handles both items and orders, while these could be placed in separate classes.</t>
  </si>
  <si>
    <t>CBO, There is a coupling with the Item class. Also, the Warehouse class undertakes inventory management (items), orders and cost calculation with VAT.
This is likely to increase LCOM, because the methods deal with different datasets and functions. In addition, the class has few public methods (addOrder, calcCost) but calls methods of other classes (e.g., Item's getPrice).
This increases the RFC because the class has indirect calls through other objects.</t>
  </si>
  <si>
    <t>The design strategy principle from behavioral design patterns could improve code quality.</t>
  </si>
  <si>
    <t>The code after the changes is extensible: If a new VAT type is added, the Warehouse does not change. A possible extension is to add a WarehouseManager class to manage all warehouses.</t>
  </si>
  <si>
    <t>1. you can use the variable type to print which road the vehicle is going on instead of having the external if/if_else (Bloaters) and using the transport for the type of road 
2.You have to use this. inside the moveVehicle() method (Object-Orientation Abusers)
3. If you want to add a third type of vehicle, you have to rewrite the same code for a third time (Change Preventers)</t>
  </si>
  <si>
    <t xml:space="preserve">RFC and NPM because you have 2 methods in a class
WMC why the moveVehicle() method can be written more simply
</t>
  </si>
  <si>
    <t>Single-Responsibility Principle because it simply prints which vehicle is going on which road</t>
  </si>
  <si>
    <t>to add more types of roads and vehicles and the solution helps because it covers it and we don't need to write a code for every case</t>
  </si>
  <si>
    <t xml:space="preserve">Magic Strings (Code Smell: Magic Numbers/Strings)
Issue: The calcCost method uses hardcoded strings "REDUCED", "NORMAL", and "EXTRA" to represent VAT types. These magic strings are prone to misuse (e.g., typos in other parts of the code) and make it harder to maintain or extend the VAT type system.
Impact: If a new VAT type is added or a type is mistyped elsewhere, the code must be modified in multiple places, increasing the risk of errors. It also lacks type safety.
Primitive Obsession (Code Smell: Primitive Obsession)
Issue: The type and VAType fields are stored as String, allowing arbitrary values without validation or type safety. Similarly, VAT rates are handled as raw double values. This reliance on primitive types makes the code less robust and harder to maintain.
Impact: Invalid values (e.g., "InvalidType" for VAType) can lead to incorrect behavior (e.g., default VAT of 0.0), and extending the system (e.g., adding new warehouse types) is cumbersome.
Lack of Encapsulation for Lists (Code Smell: Data Class / Inappropriate Intimacy)
Issue: The items list is directly assigned in the constructor (this.items = i;), allowing external code to retain a reference to the list and modify it outside the Warehouse class. The orders list is also not properly encapsulated (though not initialized, which we’ll treat as a mistake). This exposes internal state, breaking encapsulation.
Impact: External modifications to items or orders can lead to inconsistent state, such as removing items without going through addOrder.
Temporary Field (Potential) (Code Smell: Temporary Field)
Issue: The orders list is not initialized in the constructor, but assuming it’s meant to be initialized (e.g., as new ArrayList&lt;&gt;()), it’s only used in the addOrder and calcCost methods. If the orders list is empty or only populated temporarily, it could indicate a design where the field is underutilized or not always relevant.
Impact: Fields that are only used in specific cases can confuse developers and suggest incomplete design (e.g., should orders be stored elsewhere or cleared after cost calculation?).
Switch Statements (Code Smell: Switch Statements)
Issue: The calcCost method uses a series of if-else statements to determine the VAT rate based on VAType. This is a form of switch-like logic that could be better handled with polymorphism or a more structured approach.
Impact: Adding a new VAT type requires modifying the calcCost method, violating the Open-Closed Principle. It also makes the code less maintainable.
Comments (Code Smell: Comments)
Issue: The code includes minimal comments (e.g., // available items (stock)), but lacks comprehensive documentation for the class, constructor, or methods. The existing comments are redundant, as they describe obvious field purposes (items and orders).
Impact: Without proper documentation, the code’s intent (e.g., the purpose of type or how VAT is applied) is unclear, making it harder for others to maintain or extend.
</t>
  </si>
  <si>
    <t>Magic Strings
Metric: WMC
How: if-else chain in calcCost increases cyclomatic complexity (e.g., 4 branches), raising WMC.
Magic Numbers
Metric: WMC
How: Hardcoded rates in if-else chain increase calcCost’s complexity, raising WMC.
Primitive Obsession
Metric: CBO
How: String for VAType creates implicit coupling to other classes using same strings.
Lack of Encapsulation for Lists
Metric: CBO
How: Direct items assignment couples Warehouse to List and Item.
Temporary Field (Potential)
Metric: LCOM
How: If orders is temporary, it reduces method cohesion, increasing LCOM.
Switch Statements
Metric: WMC
How: if-else chain in calcCost increases complexity, raising WMC.
Comments
Metric: None Directly
How: Poor documentation doesn’t affect C&amp;K metrics but hinders maintenance.</t>
  </si>
  <si>
    <t>Based on the code smells identified in the Warehouse class, the most suitable design principle to address them is the Open/Closed Principle (OCP) from SOLID principles. The OCP states that a class should be open for extension but closed for modification. This is particularly relevant for the Magic Strings, Magic Numbers, Primitive Obsession, and Switch Statements smells, as the use of hardcoded values and if-else structures makes the class difficult to extend without modifying its code.
Additionally, we can apply the Strategy Design Pattern to manage different VAT rates, eliminating the need for if-else and enabling easy addition of new VAT types. The Strategy pattern aligns with OCP, allowing behavior extension through new classes without altering existing code.</t>
  </si>
  <si>
    <t>1)Management of multiple types of VAT by country
2)Order History Tracking
The solution you propose with the Warehouse class helps to make it easier to implement the two required for the following reasons:
a) Management of multiple types of VAT per country
- The existence of the VAType field allows the warehouse to have a different type of VAT, e.g. REDUCED, NORMAL, EXTRA.
- The calcCost() method applies the appropriate VAT rate dynamically, depending on the value of VAType. 
-This makes the cost calculation parametric, without having to change the logic every time a country or VAT type is added. Thus, the implementation is scalable and maintainable: we can easily support more countries or types of VAT.
b) Order History Tracking
- The order list keeps a separate history of all ordered items.
- By calling addOrder(Item i), the item is removed from the available items and added to the history (orders).
- This maintains a clear separation between inventory and orders, facilitating tracking and reporting (e.g., for logistics or analytics).</t>
  </si>
  <si>
    <t>It is not a good practice for the type of vehicle to be declared as an attribute, the code becomes more complex. Better to model the relevant subclasses</t>
  </si>
  <si>
    <t>CBO</t>
  </si>
  <si>
    <t>After refactoring it is easier to add another vehicle category e.g. a motorbike that inherits the same methods as the car and the truck With the previous version it would have been more difficult because we would have to modify the relevant ifs while now we are just adding the relevant methods to the new class</t>
  </si>
  <si>
    <t>🔴 1. Incorrect Variable Name (VATtpe)
Smell: Typo / Inconsistent Naming
Problem: The constructor assigns to this.VATtpe, but the class declares VAType. This mismatch causes a compile-time error.
Fix: Use consistent, descriptive naming: VATType.
🔴 2. Missing Initialization of orders
Smell: Uninitialized Field
Problem: orders is declared but not initialized in the constructor, which leads to a NullPointerException when calling orders.add(i).
Fix: Initialize orders in the constructor: this.orders = new ArrayList&lt;&gt;();
🔴 3. Improper for Loop Syntax
Smell: Syntax Error / Misuse of For-Each Loop
Problem: for (Item i ; orders) is invalid syntax.
Fix: Use enhanced for-loop correctly: for (Item i : orders)
🟠 4. Using String for VAT Types Instead of Enum
Smell: Magic Strings
Problem: Using string literals like "REDUCED" can lead to typos and bugs.
Fix: Use an enum VATType for better type safety and readability.
🟠 5. No Null Checks or Feedback on addOrder
Smell: Silent Failure
Problem: If the item is not in the stock, items.remove(i) silently fails.
Fix: Check the result of remove() and give feedback (e.g., log or exception).
🟡 6. Class Responsibility is Too Broad
Smell: God Class (Mild)
Problem: Warehouse manages both inventory and order processing logic. While acceptable for small apps, separating these responsibilities improves scalability.
Fix: Consider separating inventory management and order processing into distinct classes.
🟡 7. Unclear Type Field Usage
Smell: Unused / Vague Variable
Problem: type (local or central) is stored but not used.
Fix: Either utilize it (e.g., affect VAT or behavior) or remove it if unnecessary.</t>
  </si>
  <si>
    <t>🔧 1. Weighted Methods per Class (WMC)
Before: High — the Warehouse class contained too many responsibilities (inventory, orders, VAT).
After: Lower — responsibilities are distributed across multiple classes (e.g., VATPolicy, WarehouseType, Item).
Why It Improved: Each class does less, reducing method count and complexity per class.
🔧 2. Single Responsibility Ratio (SRR)
Before: Low — Warehouse was doing multiple jobs.
After: High — now each class has one clear role (e.g., Warehouse manages products, VATPolicy handles VAT logic).
Why It Improved: Clear separation of concerns enhances cohesion and maintainability.
🔧 3. Coupling Between Objects (CBO)
Before: High — Warehouse depended directly on String values for VAT, on List for both stock and orders, and on internal logic to calculate cost.
After: Lower — Warehouse now depends on abstract interfaces like VATPolicy.
Why It Improved: Reducing direct dependencies makes code easier to refactor, test, and extend.
🔧 4. Lack of Cohesion in Methods (LCOM)
Before: High — methods like addOrder() and calcCost() were unrelated and operating on different data.
After: Lower — methods now align more tightly with the class's main purpose.
Why It Improved: Splitting functionality into focused classes increased internal cohesion.
🔧 5. Response For a Class (RFC)
Before: High — Warehouse directly accessed and coordinated multiple objects and actions.
After: Lower — more responsibilities are delegated to other classes.
Why It Improved: Reduces the number of potential side effects and simplifies testing and debugging.
🔧 6. Cyclomatic Complexity (CC)
Before: Moderate to High — conditional logic (if/else) was embedded in the calcCost() method.
After: Lower — conditional VAT logic is now handled cleanly in the VATType enum or VATPolicy implementations.
Why It Improved: Simplifies control flow, making methods easier to understand and test.</t>
  </si>
  <si>
    <t>✅ 1. Single Responsibility Principle (SRP)
Each class should have only one reason to change.
Current Issue:
Warehouse is doing too much—it manages inventory, order processing, and VAT policy logic.
Improvement:
Split responsibilities:
A Warehouse class that stores general information.
An InventoryManager for stock operations.
An OrderManager for orders.
Possibly a separate VATPolicy class or enum to encapsulate VAT logic.
✅ 2. Open/Closed Principle (OCP)
Classes should be open for extension, but closed for modification.
Current Issue:
The VAT calculation logic is hard-coded using string comparisons. Any change requires modifying the calcCost method.
Improvement:
Use a strategy pattern or an enum (VATType) to encapsulate VAT logic. This way, new VAT types can be added without modifying existing code.
✅ 3. Liskov Substitution Principle (LSP)
Subtypes must be substitutable for their base types.
Potential Improvement:
If LocalWarehouse and CentralWarehouse have different VAT or shipping policies, you can use inheritance:
Create a base Warehouse class.
Extend it into LocalWarehouse and CentralWarehouse, each with their own calcCost() logic.
✅ 4. Interface Segregation Principle (ISP)
Clients should not be forced to depend on methods they do not use.
Not currently violated, but:
If the Warehouse class grows too large, consider extracting interfaces like OrderProcessor or InventoryHandler.
✅ 5. Dependency Inversion Principle (DIP)
Depend on abstractions, not concrete implementations.
Current Issue:
Warehouse depends directly on a List&lt;Item&gt;, which could lead to rigid coupling.
Improvement:
Use interfaces or abstraction for inventory and order lists. For example, inject a StockManager or IInventory interface to decouple the implementation.</t>
  </si>
  <si>
    <t>🚀 Possible Extension: Dynamic VAT Policy by Region or Date
🎯 Scenario
Suppose the company wants to:
Apply different VAT rates based on the country or region of the warehouse.
Change VAT policies dynamically during sales seasons (e.g., lower VAT on Black Friday).
Introduce custom VAT rules for certain product categories.
✅ Why This Is a Good Extension
This is a realistic, business-driven requirement:
Companies operating internationally deal with variable VAT rules.
Having flexibility to plug in or switch VAT rules is essential.
A hard-coded approach wouldn’t scale with these demands.</t>
  </si>
  <si>
    <t>Spelling Error in Variable Name:
this.VATtpe = vat; instead of this.VAType = vat;. This error can cause problems, as the variable is not initialized correctly.
Use of String for VAT Type:
VAT types (e.g., "REDUCED," "NORMAL," "EXTRA") are represented as simple strings. This is prone to errors, and it would be preferable to use enum.
Order List Not Initialized:
The orders list is not initialized in the constructor, resulting in a NullPointerException when addOrder is called.
Incorrect Variable Name in addOrder:
The command order.add(i); should be orders.add(i);. This error will cause a compilation error.
Syntax Error in the for-each Loop:
The syntax for (Item i ; orders) is incorrect. The correct syntax is for (Item i : orders).
Lack of Separation of Concerns:
The same class handles data management and cost calculation. It is preferable to separate the business logic into separate classes.
Possible Problem with List Variables:
The List&lt;Item&gt; list is passed directly through the constructor, which can lead to unexpected changes from external code. It is a good idea to make a defensive copy.</t>
  </si>
  <si>
    <t>Maintainability Index (↓ Decrease):
Spelling mistakes, fuzzy structure, and the use of simple Strings make the code more difficult to maintain.
Cyclamatic complexity (↑ slight increase):
The calcCost method has many if checks, increasing the complexity of the code.
Consistency (↓ Reduce):
The class performs many different functions (data, inventory, business logic), reducing consistency.
Conjugation (↑ Augmentation):
If the Item class is not well designed, the dependence on it makes the code difficult to extensible. In addition, using lists directly from external code increases dependencies.
Code Lines / Readability (↓ Low Quality):
Poor nomenclature, uninitialized variables, and repetitive logic reduce code clarity and unduly increase lines.
Reliability (↓ Reduce):
Errors such as spelling (VATtpe, order.add(i)), uninitialized variables, and possible NullPointerExceptions reduce system reliability.</t>
  </si>
  <si>
    <t>Used enum for VATType
Created a VATStrategy interface with concrete strategies
Applied the Strategy Pattern for VAT calculation
Used Factory Pattern to create Warehouse instances
Properly initialized and encapsulated lists</t>
  </si>
  <si>
    <t>Adding features like shipping costs is easy because the code is now modular and extensible. The use of design templates such as Strategy, Factory, and Encapsulation allows for the addition of new functionality with minimal changes to existing code, enhancing the clean and organized development of the application.</t>
  </si>
  <si>
    <t>it is better if there were subclasses of car and truck that extend the vehicle instead of String</t>
  </si>
  <si>
    <t>Some of the metrics that are affected are inheritance and conjugation between classes</t>
  </si>
  <si>
    <t>The open-closed design principle could be used</t>
  </si>
  <si>
    <t>Possible expansion of the system: adding car and truck brands</t>
  </si>
  <si>
    <t>Primitive Obsession
Duplicate Data Structures
Feature Envy / Low Cohesion
Long Method / Method Does Too Much (addOrder)
Stringly-Typed Code
Misleading Naming or Class Responsibility
Lack of Polymorphism
Possible Data Inconsistency</t>
  </si>
  <si>
    <t>1. Cyclomatic Complexity
2. Coupling
3. Cohesion (Lack of)
4. Maintainability Index
5. Lines of Code (LOC)
6. Depth of Inheritance Tree (DIT)
7. Lack of Cohesion in Methods (LCOM)</t>
  </si>
  <si>
    <t>Single Responsibility Principle (SRP)
Open/Closed Principle (OCP)
Liskov Substitution Principle (LSP)
Dependency Inversion Principle (DIP)
1. Strategy Pattern
2. Factory Pattern
3. Template Method Pattern
4. Command Pattern</t>
  </si>
  <si>
    <t>One possible extension of the system is the introduction of a new type of employee, for example an "Order Manager" who will be exclusively responsible for monitoring and managing orders, separating these responsibilities from the other functions of the storage area.</t>
  </si>
  <si>
    <t>Unfortunately, I don't remember Java at all (I haven't worked with it for over 3 years), so I don't know. The same goes for the following questions. Since the use of AI is prohibited in this project, I can't start it at all.</t>
  </si>
  <si>
    <t xml:space="preserve">1) There are duplicated literal strings (REDUCED, NORMAL, EXTRA), i.e., hardcoded strings, which increase the likelihood of errors when new data types are added.
2) There is Feature Envy, as the calcCost method depends heavily on the logic and strings related to VAT.
3) There is the bad smell of God Class, i.e. one class handling all functions. If the project grows too large, this will be a problem for future extensions.
</t>
  </si>
  <si>
    <t>-The LOC is increasing.
-LCOM is increasing.
-Cyclomatic Complexity increases.
-The Maintainability Index is reduced.
-Testability decreases.</t>
  </si>
  <si>
    <t>A design pattern that can be applied to this code is the Strategy Pattern, as it reduces the complexity of the methods while also following the Single Responsibility and Open/Closed Principles.</t>
  </si>
  <si>
    <t>A possible extension of the system is to add a new VAT policy (e.g. ZeroVAT). By using Strategy we simply create a new Strategy class VATZero and then simply use it where needed. Therefore, Strategy makes the system flexible to changes without having to change old code.</t>
  </si>
  <si>
    <t>Data clumps: the vehicle class has many attributes; it would be preferable to create two extra classes to represent vehicle types, extending the vehicle class. Long Parameter List: the Vehicle method (the constructor) accepts many parameters as arguments. Shotgun Surgery: adding another vehicle type, for example, requires many changes to the code. Dead Code: the cc attribute is not used anywhere.</t>
  </si>
  <si>
    <t>WMC, the vehicle class has enough complexity that could be avoided. I believe the RFC is also affected but I can't explain it.</t>
  </si>
  <si>
    <t>Composite design pattern</t>
  </si>
  <si>
    <t>A possible extension may be the addition of another type of vehicle. I believe remodeling the code based on the composite pattern makes the code less complex and more extensible. A hierarchy was created by adding 2 subclasses inherited from the abstract vehicle. Now the methods in each subclass are more comprehensive and unnecessary if/ if else are avoided</t>
  </si>
  <si>
    <t>"1. Incorrect variable name (VATtpe vs VAType)
2. Uninitialized orders list
3. Incorrect list name order.add(i)
4. Incorrect for loop in calcCost()
5. Magic numbers for VAT
6. Tight coupling between Warehouse and VAT
7. Poor naming convention
8. Lack of null protection in methods
"</t>
  </si>
  <si>
    <t>Metric Impact
Cohesion Low
Coupling High
Cyclomatic Complexity Increased
Lines of Code / Method Length
Number of Responsibilities
Public API Size Potentially Extended
Encapsulation Incomplete</t>
  </si>
  <si>
    <t>Design Principle: Single Responsibility Principle (SRP)
➤ Solution: We separate responsibilities – the warehouse should not calculate VAT or manage orders on its own. These functions must be separated into independent classes.
✅ Design Pattern: Strategy Pattern
➤ Solution: We use the Strategy Pattern to manage the VAT calculation. Instead of checking with if/else which VAT will be applied, we use different strategies (classes) for each type of VAT.
✅ Design Principle: Open-Closed Principle
➤ Solution: Adding a new VAT type does not require modifying existing logic (e.g., we don't change calcCost, we just add a new strategy).</t>
  </si>
  <si>
    <t xml:space="preserve">Potential Expansion of the System
A natural extension of the system could be the addition of warehouse employees, with different roles and responsibilities. For instance:
👷 ♂️ New Entity Type: Employee
Types of Employees:
WarehouseManager – Manages inventory and approves orders.
Clerk – Can only place orders.
Auditor – Has read-only permission (e.g., checks costs or inventory).
</t>
  </si>
  <si>
    <t>1) Duplicate Code: almost all println
2) Data Class: must be broken into car and truck subclasses
3) Signs and Symptoms: because each case is with if-else an addition needs a change in many places, e.g. type: bike</t>
  </si>
  <si>
    <t>WMC of the many if-else
LCOMvariables in vehicle class (cc, VIN) that are not used by any method</t>
  </si>
  <si>
    <t>Strategy Pattern</t>
  </si>
  <si>
    <t>Add vehicle type: just create another TypeStrategy class</t>
  </si>
  <si>
    <t>Poor cohesion: the Warehouse class has more methods than it should.</t>
  </si>
  <si>
    <t>LCOM, Readability,Coupling</t>
  </si>
  <si>
    <t>Strategy and Factory design patterns</t>
  </si>
  <si>
    <t>Adding different VAT rate categories depending on the customer It's easier with the new solution because the VAT logic was disconnected from the warehouse</t>
  </si>
  <si>
    <t>The code has various typos in the horn function that make it unable to be compiled (missing parenthesis). Aside from that the use of String variables instead of enums, is slower and more error prone as enums make the range of values a variable can take, explicit in the type system. The class is also has large method (Long Method) as it handles all vehicle types by itself. Instead it can simply format a message from the member variables</t>
  </si>
  <si>
    <t>The WMC of the class has been reduced as the methods are significantly simpler (instead of multiple conditional statements and hardcoded prints, now its a single print with formatted string). The DIT, NOC are unchanged since we didn't introduce any new child classes. The RFC has been increased as we abstracted getting the display name and printing into different functions (String.format() and enum helpers like name(), toString() and getHornSound())</t>
  </si>
  <si>
    <t>The Open-Closed Principle is quite important here, as the old design required to modify the class itself in multiple methods to add new functionality. By moving the data into enums we can modify the enums themselves without touching the class code in order to add extensions. The Dependency inversion is also similarly useful, as instead of depending directly on low level Strings for types, now enums serve as an abstraction and syntaxic sugar that provides automatic bounds checking, stores a display name or other useful data like the horn sound for vehicle types</t>
  </si>
  <si>
    <t>Adding a new vehicle type and transport type is super easy with the refactor, as you simply have to add a new enum value alongside its horn sound and display name respectively. The code should work okay without modifying the class itself since the hardcoded if statements have been replaced with string formatting based on enum value.</t>
  </si>
  <si>
    <t>In constructor the parameters do not have the same names as the class fields, in the moveVechicle function there are many encapsulated ifs making the method very large. Similarly you use a class to model the program. LACK OF COMMENTS".</t>
  </si>
  <si>
    <t>The class is very large, lack of cohesion, large coupling</t>
  </si>
  <si>
    <t>Strategy pattern</t>
  </si>
  <si>
    <t>Add a new vehicle type</t>
  </si>
  <si>
    <t>1. Primitive Obsession
Use String for warehouseType and vatType (e.g., "REDUCED," "NORMAL," "EXTRA").
❗ Instead of Strings, enums or appropriate subclasses should be used for warehouse types and VAT.
2. Type Code with Conditional
The differentiation of the warehouse type (local or central) is probably done with if/else or switch on warehouseType.
❗ This violates the Open/Closed Principle. If we add a new warehouse type, we will have to modify the existing code.
3. God Class
The warehouse seems to handle:
Products,
Orders,
VAT calculation,
Total cost,
And the addOrder and calcCost functions.
❗ Too much responsibility for a single class → violation of SRP (Single Responsibility Principle).
4. Data Clumps
If many members always go together (e.g., items, orders, vatType), they may need to be grouped into separate classes or structures.
5. Duplication of Logic
The calcCost method probably contains VAT calculation logic that differs between local/central, which leads to duplication of logic if there is no polymorphism.
6. Violation of the Tell, Don't Ask Principle
If calcCost takes information from Item via methods such as getPrice() to calculate prices, and performs external logic, then this principle may be violated.7. Inappropriate Intimacy If Warehouse handles Item details instead of working through abstractions, there's a tight coupling between them. 8. Low Cohesion If Warehouse manages everything—from items, orders, VAT, to even business logic—then the class cohesion is low. 🧩 What could be improved: Use inheritance or strategy: Warehouse → LocalWarehouse, CentralWarehouse, where each has its own VAT policy. Use enum for VATType: java Copy Edit public enum VATType { REDUCED(0.06), NORMAL(0.13), EXTRA(0.24); private double rate; ... } Use Design Patterns: Strategy Pattern for VAT policy. Factory Method for creating the correct warehouse type.</t>
  </si>
  <si>
    <t>Metrics Affected:
1. Cyclomatic Complexity (CC)
What counts: Number of independent execution paths in the code.
Problem: The existence of if/else for warehouse types (e.g., local vs central) and VAT items significantly increases complexity.
Result: Difficulty in testing, increased number of test cases and greater probability of errors.
2. Cohesion
What counts: How relevant the functions and data of a class are to each other.
Problem: The Warehouse class does a lot of different jobs (keeps data, manages orders, calculates VAT).
Result: Low consistency → difficult to understand and maintain.
3. Coupling
What counts: How much one class depends on others.
Problem: The warehouse is probably heavily dependent on Item class details and strings for formulas.
Result: High coupling → little reuse, increased likelihood of ripple effect in changes.
4. Lines of Code (LOC)
What counts: The size of the code.
Problem: The coexistence of many if/else, duplication code and manual checks leads to an increase in LOC.
Result: Longer read and debug time.
5. Lack of Cohesion in Methods (LCOM)
What counts: How different the fields used are by each method.
Problem: The addOrder and calcCost methods may not use all fields in the class.
Result: High LCOM → an indication that the class needs to be broken down into smaller ones.
6. Maintainability Index
What counts: How easily the code can be maintained.
Problem: Large, unstructured code with many responsibilities and increased complexity reduces this metric.
Result: Increased maintenance and development costs.</t>
  </si>
  <si>
    <t xml:space="preserve">Design Principles
1. Single Responsibility Principle (SRP)
A class must have one and only one reason for change.
🔧 Application:
The Warehouse class should be divided into:
Class for warehouse data,
Class for orders,
Class for VAT policy.
2. Open/Closed Principle (OCP)
Software entities must be open for extension but closed for modification.
🔧 Application:
Instead of if/else in warehouseType, we use polymorphism:
Subclasses LocalWarehouse, CentralWarehouse
Each sub-class has a different implementation for the calculation of costs including VAT.
3. Liskov Substitution Principle (LSP)
Subclasses must be able to be used in place of superclasses without causing errors.
🔧 Application:
Each warehouse subclass can be used interchangeably, without affecting the customer code.
4. Dependency Inversion Principle (DIP)
High-level code should not depend on implementations but on abstractions (interfaces/abstract classes).
🔧 Application:
The Warehouse class depends on a VatPolicy interface instead of a specific vatType.
🧩 Design Patterns
1. Strategy Pattern 🧠
It defines a family of algorithms and makes them dynamically interchangeable.
🔧 Application:
The calculation of VAT should be transferred to headings such as:
ReducedVatPolicy, NormalVatPolicy, ExtraVatPolicy
And to be used like this:
java
Transcription
Elaboration
warehouse.setVatPolicy(new ReducedVatPolicy());
2. Factory Method Pattern 🏭
It provides a way to craft items without revealing the specific class.
🔧 Application:
Method WarehouseFactory.createWarehouse(type) that returns LocalWarehouse or CentralWarehouse.
3. Template Method Pattern 🧬
It defines the skeleton of an algorithm and allows subclasses to implement individual steps.
🔧 Application:
The calcCost method may have a fixed structure, but the subheadings determine the VAT calculation.
</t>
  </si>
  <si>
    <t>Potential Expansion of the System
Adding a new warehouse type – e.g. "InternationalWarehouse" with a different VAT policy (e.g. zero VAT on exports or a special reduced rate of 5%).
🧩 Why the proposed solution easily supports expansion
The architecture implemented is based on the Open/Closed and Strategy Pattern principles, allowing for easy expansion without modifying existing code.
✅ Expansion Steps
1. Creation of a new VAT policy:
java
Transcription
Elaboration
public class ExportVatPolicy implements VatPolicy {
@Override
public double calculateVat(double baseCost) {
return baseCost * 0.05; or 0.0 if it is zero
}
}
2. Create a new warehouse subclass:
java
Transcription
Elaboration
public class InternationalWarehouse extends Warehouse {
public InternationalWarehouse() {
super(new ExportVatPolicy());
}
@Override
public String getType() {
return "International";
}
}
3. Add to Factory:
java
Transcription
Elaboration
case "international":
return new InternationalWarehouse();</t>
  </si>
  <si>
    <t>DP_TEM2</t>
  </si>
  <si>
    <t>1. Type Code with Conditional Logic
2. God Class
3. Primitive Obsession
4. Duplicated Code
5. Missing Abstractions</t>
  </si>
  <si>
    <t>1. Cyclomatic Complexity (CC)
2. Lack of Cohesion of Methods (LCOM)
3. Class Coupling / Coupling Between Objects (CBO)
4. Maintainability Index (MI)
5. Lines of Code (LOC)
6. Response for a Class (RFC)</t>
  </si>
  <si>
    <t>1.Strategy Pattern
2.Open/Closed Principle
3.Single Responsibility Principle 
4. Liskov Substitution Principle 
5. Dependency Inversion Principle 
6. Factory Pattern 
7. Template Method Pattern</t>
  </si>
  <si>
    <t>A natural and meaningful extension of the system would be to add more types of finite state machines (FSMs), each with distinct behaviors. For example:
New Machine Type: PrimeNumberMachine
Behavior: Computes and prints all prime numbers up to a threshold.
FSM-Like Flow:
start(): Prints an intro message.
execute(): Checks each number for primality.
isFinished(): Stops at the threshold.
finish(): Prints a summary or total count of primes.</t>
  </si>
  <si>
    <t>DP_TEM1</t>
  </si>
  <si>
    <t>1) There is Feature Envy, as methods such as execute contain logic that is specific to machine types.
2) The StateMachine class is considered a God Class, as it attempts to take on many responsibilities at once.
3) There is Primitive Obsession for controlling flow logic.
4) There are code duplicates in the start, execute, and finish methods.
5) There is a lack of encapsulation.</t>
  </si>
  <si>
    <t>-Cyclomatic Complexity: Multiple if/else commands
-Lack of Cross-Class Consistency (LCOM): Some methods are only enabled in specific fields.
-Lines of Code (LOC): Repetitive code with same logic
-Number of Classes (NOC): A single class is responsible for all functions
-Testability</t>
  </si>
  <si>
    <t>The best design principle that can be applied to this code is the Open/Closed Principle (OCP). In this way, we can create a basic class, with subclasses that implement the necessary methods.</t>
  </si>
  <si>
    <t>One possible extension is to add a Fibonacci machine. The OCP design principle allows this new feature to be added without modifying older code.</t>
  </si>
  <si>
    <t>Switch Statements: The methods of the Recipe class include if statements that could be avoided with a different implementation. Large Class: The Recipe class includes all methods. Shotgun Surgery, an error, e.g., in the recipe type or the addition of a new recipe requires many changes to the code. Duplicate Code, methods that have repetitive pieces of code with minimal variations. Dead Code, the attribute name is not used anywhere.</t>
  </si>
  <si>
    <t>WMC, due to the complexity of the Recipe class. LCOM Low</t>
  </si>
  <si>
    <t>I believe in Single Responsibility Principle because each class has its own purpose and the baking process of each one differs.</t>
  </si>
  <si>
    <t>A possible extension is the addition of other recipes, some of which will have a different baking process while others will have a similar one.</t>
  </si>
  <si>
    <t>1. God Class / Large Class
The StateMachine handles the logic for both different machines, which violates the Single Responsibility Principle (a class should have a single reason for existing).
2. Type Code with Conditional Logic
The if (machineType.equals(...)) check appears in many methods. This is a classic example where type leads to conditional statements, instead of using the power of polymorphism.
3. Duplicated Code
The run(), start(), execute(), and finish() methods contain repetitive or similar code depending on the machine type.
4. Inappropriate Intimacy
StateMachine has fields that are not used in all machine types (e.g., stack is only used by PushDownAutomaton). This leads to object overload.
5. Primitive Obsession
Use of String for machineType instead of enum or, even better, subclasses.
6. Magic Strings
The values "PushDownAutomaton" and "DivisibleNumbersMachine" are hardcoded, which is prone to errors.
7. Poor Encapsulation
StateMachine exposes internal logic with public void run(), which is not consistent with proper behavior encapsulation.
8. Lack of Interface or Abstraction
There is no interface such as FiniteStateMachine, which would allow for implementation switching and better testability.</t>
  </si>
  <si>
    <t>1. LOC (Lines of Code)
It is negatively affected due to repetitive code and formula checks with if/else on a case-by-case basis.
Large LOC → difficult maintenance.
Improvement by refactoring and inheritance significantly reduces LOC.
✅ 2. Cyclomatic Complexity (Κυκλωματική Πολυπλοκότητα)
It is augmented by the multiple if-else blocks that manage the machine type.
It shows how many logical paths there are → makes testing difficult and increases the risk of errors.
By applying polymorphism, complexity is reduced, because each subclass manages its own flow.
✅ 3. Cohesion
The StateMachine class has low consistency because it does many different tasks depending on the type.
The Single Responsibility Principle is violated.
Low consistency = difficult to detect errors and changes.
By refactoring into individual subclasses, coherence is increased as each class has a clearly defined role.
✅ 4. Coupling
The use of string formulas and common variables such as counter, stack leads to tight coupling of operations.
This approach makes future expansion (e.g. new machines) more difficult.
By using interfaces/abstract classes, the coupling is reduced and the changes do not affect the rest of the systems.
✅ 5. DIT (Depth of Inheritance Tree)
In the present form, heredity is not exploited at all.
If it is refactored with subclasses, the DIT value increases slightly, but positively, because it organizes the logic better.
✅ 6. NOC (Number of Children)
Currently: 0 (no subclass).
By refactoring into subclasses: increases.
More subclasses = more scalability, as long as the base is properly designed.
✅ 7. WMC (Weighted Methods per Class)
StateMachine has many methods with different logic.
WMC is high → an indication of difficulty in maintenance and reuse.
Refactoring into simple subclasses reduces WMC and makes it more predictable.
✅ 8. Testability
The existing design is difficult for test units because the logic is hardcoded with if/else.
With interfaces and subclasses, the possibility of mocking and unit testing increases.</t>
  </si>
  <si>
    <t xml:space="preserve">1. Design Principle: Polymorphism
We avoid if-else with alternative behaviors in subclasses.
2. Principle: Open/Closed Principle (SOLID)
The code must be open for expansion, but closed for modification.
3. Design Pattern: Strategy Pattern
It defines a family of algorithms (strategies) and makes them interchangeable. This helps to disconnect StateMachine's logic from the execution of individual strategies.
</t>
  </si>
  <si>
    <t>Adding a new Finite State Machine type: e.g. FactorialMachine
This new FSM formula will calculate the number factorial up to a threshold (e.g., threshold = 5 → 1!, 2!, 3, ..., 5!).
Why is it easy to implement with the proposed solution (polymorphism + strategic classes)?
Thanks to the clear separation of responsibilities and the implementation of the Open/Closed Principle, we can simply:
Create a new subclass of AbstractStateMachine.
Implement only the methods we are interested in (start(), execute(), finish()).
We don't need to modify any other class of the system (such as Main, other machines, or the basic StateMachine structure).</t>
  </si>
  <si>
    <t>1)Duplicate Code: all println if 2 are almost the same
2) Shotgun Surgery: a change e.g. in a food requires the addition of new else-ifs or modification of the existing ones</t>
  </si>
  <si>
    <t>RFC, WMC, LCOM
The methods due to if-else have more complexity and delay when calling, and in addition LCOM is affected by the presence of the String name variable that is not used</t>
  </si>
  <si>
    <t xml:space="preserve">Open-Closed Principle, the scalability of the system is quite a difficult process due to many small changes in many places.
Strategy and Factory design templates can be implemented, I did it with factory
</t>
  </si>
  <si>
    <t>Adding a new type of recipe e.g., tsoureki
Adding a new function eg. Serving</t>
  </si>
  <si>
    <t>Large Class, Type Code with Conditional Logic</t>
  </si>
  <si>
    <t>CC,LCOM,CBO,DIT,WMC,SRP, OCP</t>
  </si>
  <si>
    <t>we can add a new automatic just by adding a class e.g. FibonacciMachine</t>
  </si>
  <si>
    <t>The code suffers from Divergent Change as the class has multiple methods that need changing when adding a new product type. Also Primitive Obsession can be observed as the product type is stored as a basic string, instead of an enum which would be faster and provide effective checking from the type system</t>
  </si>
  <si>
    <t>The WMC has been decreased as the methods of the Recipe class have reduced significantly in complexity. The DIT has increased by 1 since we have added child classes that inherit from Recipe and also the NOC of Recipe class has increased to 2 as we have 2 child classes. The NPM has been decreased as we have hidden methods that don't have to be directly accessible to the caller</t>
  </si>
  <si>
    <t>Open-Closed Principle is applicable here, as the current Recipe class tries to handle all possible product types. Instead we can split each recipe to its own class for more clarity and maintainability. The Template Method is also quite useful as we can keep the basic skeleton of the algorithm in the base Recipe class (prepare, bake, serve) but have each class override the steps to its liking</t>
  </si>
  <si>
    <t>By using inheritance each recipe is separated into its own class. A new recipe (for example Pasta) can be added by adding new class that defines its own steps of preparing, baking and serving the dish.</t>
  </si>
  <si>
    <t>non-use of AI-reverse programming principles resulting in the modeling of the problem in a class and the use of if statements</t>
  </si>
  <si>
    <t>big coupling, big class</t>
  </si>
  <si>
    <t>template method</t>
  </si>
  <si>
    <t>Adding a Thessaloniki bun to the set of objects modeled by the program</t>
  </si>
  <si>
    <t>🧼 Κακές Οσμές Κώδικα (Code Smells) στον Ε6.java
1. Long Method (Μακροσκελείς Μέθοδοι)
Αν κάποια μέθοδος περιλαμβάνει υπερβολικά πολλές γραμμές και υλοποιεί πολλαπλές λειτουργίες, τότε παραβιάζεται η αρχή της ενιαίας ευθύνης (Single Responsibility Principle). Αυτό δυσχεραίνει τη συντήρηση και τον έλεγχο σφαλμάτων.
Παράδειγμα: Αν υπάρχει main ή άλλη μέθοδος που κάνει πολλά πράγματα (π.χ. ανάγνωση, υπολογισμοί, εκτυπώσεις), τότε είναι υποψήφια για διάσπαση σε μικρότερες.
2. Duplicated Code (Επαναλαμβανόμενος Κώδικας)
Η ύπαρξη πανομοιότυπων ή παρόμοιων μπλοκ κώδικα σε πολλά σημεία σημαίνει ότι ο κώδικας δεν είναι επαναχρησιμοποιήσιμος.
Πρόβλημα: Αν αλλάξει κάτι σε ένα σημείο, πρέπει να αλλάξει σε όλα. Είναι υποψήφιο για εξαγωγή σε ξεχωριστή μέθοδο.
3. Large Class (Μεγάλες Κλάσεις)
Αν μία κλάση έχει πάρα πολλά πεδία ή μεθόδους, μάλλον κάνει περισσότερα από όσα πρέπει. Δείχνει ανάγκη για αναδόμηση και πιθανή εξαγωγή επιμέρους κλάσεων.
4. Primitive Obsession (Κατάχρηση Πρωτογενών Τύπων)
Αν χρησιμοποιούνται πολλοί int, String κλπ. για να αναπαραστήσουν έννοιες που θα μπορούσαν να γίνουν αντικείμενα, τότε έχουμε περιορισμένο object-oriented σχεδιασμό.
5. Feature Envy (Ζήλια Λειτουργιών)
Αν μία μέθοδος χρησιμοποιεί περισσότερο δεδομένα άλλης κλάσης παρά της δικής της, τότε πιθανώς να ανήκει αλλού.
6. Lack of Comments / Meaningless Names (Κακή Αναγνωσιμότητα)
Η απουσία σχολίων σε σύνθετα σημεία ή ονόματα μεταβλητών/μεθόδων που δεν υποδηλώνουν τον σκοπό τους καθιστούν δύσκολη την κατανόηση του κώδικα.</t>
  </si>
  <si>
    <t>Metrics Affected by Bad Odors
1. LOC (Lines of Code)
Influenced by: Long Method, Large Class
Interpretation: Large methods or classes increase the overall size of the code, making maintenance more challenging.
Risk: A large number of LOCs is often associated with an increased likelihood of errors.
2. Cyclomatic Complexity
Affected by: Long Method, Duplicated Code
Interpretation: Counts how many independent paths there are in a method or program. It increases with if, for, while, switch.
Risk: High complexity makes testing and testing more difficult.
3. Cohesion
Influenced by: Large Class, Feature Envy
Interpretation: Measures the extent to which the methods of a class relate to its data. Low consistency indicates poor design.
Danger: Indicates that the class is doing "too much".
4. Coupling
Influenced by: Feature Envy, Primitive Obsession
Interpretation: Shows how much one class depends on others. High combinability means difficulty in reusing and modifying.
Risk: If one class changes, it can affect many others.
5. Number of Parameters
Influenced by: Long Method, Primitive Obsession
Interpretation: Many parameters make it difficult to understand and indicate the need to export objects or change a signature.
Risk: A high number of parameters increases the complexity of the interface.
6. Duplication Percentage
Affected by: Duplicated Code
Interpretation: Measures the percentage of repeating code.
Risk: Increased duplication means increased maintenance costs and the risk of errors in changes.</t>
  </si>
  <si>
    <t>Design Principles
1. Single Responsibility Principle (SRP)
Description: Each class or method must have one and only one responsibility.
Application: Splitting Long Method or Large Class into smaller, specialized ones.
Benefits: Improved readability, maintainability, reuse.
2. Don’t Repeat Yourself (DRY)
Description: Code repetition should be avoided.
Application: Concatenation of duplicated code blocks into common methods or classes.
Benefits: Easier maintenance and error reduction.
3. Open/Closed Principle (OCP)
Description: Classes must be open for expansion but closed for modification.
Application: Instead of large if-else or switch blocks, using polymorphism.
Benefits: Easier scalability without compromising existing functionality.
4. Encapsulate What Varies
Description: Frequently changing parts of the code should be identified and isolated.
Application: If some functions change depending on data or options, they may be put into separate classes or strategies.
🧩 Design Patterns
1. Strategy Pattern
Application: When we have different ways of performing an operation (e.g. calculations, behaviors).
Objective: To separate the algorithm from the main logic of the program.
2. Factory Method Pattern
Application: When multiple objects are created based on options or input data.
Objective: To obscure the logic of creating objects and reduce the dependence on specific classes.
3. Extract Method / Extract Class (Refactoring techniques)
Application: For the breakdown of large methods or multifunctional classes.
Goal: Better readability, reduction of complexity.</t>
  </si>
  <si>
    <t>Potential Expansion of the System
Scenario: Let's say we have an app to process employee data (salaries, working hours, bonuses, etc.). We want to add a new type of employee, for example:
✅ Fixed-Term Employment Contract (e.g. contractor with a different method of calculating salary and bonus)
🧠 How the Applied Solution Helps
The previous refactoring was based on principles such as:
Single Responsibility Principle (SRP): Each method or class has one responsibility.
Open/Closed Principle (OCP): The system is open for expansion but closed for modifications.
Strategy Pattern (potential): The division of computation logic into methods or classes.
This means that we can add a new type of employee without modifying the existing code. Instead, simply:
➕ We add a new class, e.g.:
java
Transcription
Elaboration
public class ContractEmployee extends Employee {
@Override
public double calculateSalary() {
return baseSalary + calculateContractBonus();
}
private double calculateContractBonus() {
return 150.0; Fixed bonus for contract workers
}
}</t>
  </si>
  <si>
    <t>Switch Statements
Long Method
Large Class
Duplicate Code</t>
  </si>
  <si>
    <t>WMC 
DIT
NOC</t>
  </si>
  <si>
    <t>Open-closed Principle
Factory Method</t>
  </si>
  <si>
    <t>i could add recipes for other foods without adding if, just creating classes that inherit the Recipe</t>
  </si>
  <si>
    <t>Although the code is functional and follows the specifications, we can identify some "bad smells" that could lead to maintenance or scalability issues in a larger system:
1. **Duplicated Code for Lifecycle Checks:*** **Description:** In current implementations, the `isFinished()` method does not simply check whether the task is complete, but also *executes* a step of the task (e.g., processes a number in `DivisibleNumbersMachine` or adds an element to the stack in `PushDownAutomaton`). * **Why it's a "smell":** This slightly violates the "Command-Query Separation" principle (a method either performs an action that changes the state, or returns data, but not both). Although this was done intentionally to match the "machine processes automatically" specification, in a more general FSM context, it can make behavior less predictable or more difficult to test. 3. **Scattered State Transition Logic:** * **Description:** The `currentState` variable is updated at various points within the `start()` and `finish()` methods, and is indirectly affected by the logic of `isFinished()`. * **Why it's a "smell":** The logic governing state transitions is not centralized, making it more difficult to track and modify transition rules.
* **Description:** Each specific FSM implementation (`DivisibleNumbersMachine`, `PushDownAutomaton`) repeats the logic for checking the current state (`currentState`) before performing an action (e.g., `if (this.currentState == MachineState. RUNNING) { throw new IllegalStateException(...); }` in the `start()`, `finish()`, `getResult()` methods). Also, the transition between states (`this.currentState = MachineState.RUNNING;`) is repeated.
* **Why it's a "smell":** If the lifecycle rules change or if more complex state management logic needs to be added (e.g., logging during transitions), the change must be made in multiple places (in each FSM class).
2. **The `isFinished()` Method Does Work (Method Doing Work and Querying):**</t>
  </si>
  <si>
    <t xml:space="preserve">The above "odors" mainly affect the following code quality metrics:
1. **Maintainability:**
* Repetitive code (Smell 1) and scattered transition logic (Smell 3) make maintenance more difficult and error-prone. A change in lifecycle rules requires modifications to multiple classes.
2. **Reusability:**
* Common sense lifecycle management is not easily reusable without copy-pasting.
3. **Understandability/Readability:**
* The 'isFinished()' method that executes and task (Smell 2) may be less intuitive for someone reading the code, as they are waiting for a simple status query.
4. **Code Bloat / Lines of Code - LOC:**
* Repeating code increases the total amount of code.
5. **Cohesion:**
* The logic associated with lifecycle management is somewhat scattered rather than concentrated in one place, reducing the coherence of classes in terms of this functionality.
</t>
  </si>
  <si>
    <t xml:space="preserve">To deal primarily with repetitive lifecycle control code and scattered logical transition, the **Template Method Design Template** is an excellent option.
**How to Apply:**
1. We will create an abstract class, e.g., 'AbstractFiniteStateMachine&lt;T&gt;', which will implement the 'FiniteStateMachine&lt;T&gt;' interface.
2. This abstract class will manage the 'currentState' and implement the common logic of lifecycle control and state transitions within the public methods 'start()', 'isFinished()', 'finish()', and 'getResult()'.
3. It will define **protected abstract methods** that the specific subclasses (such as 'DivisibleNumbersMachine', 'PushDownAutomaton') should implement. These hook methods will contain the unique logic of each FSM:
* 'protected abstract void doInitialize();' (for initializing resources)
* 'protected abstract boolean performComputationStep();' (the processing step called by 'isFinished()')
* 'protected abstract void doFinalize()?' (for finalization at 'finish()')
* 'protected abstract T getSpecificResult();' (to return the specific result)
4. The public methods in the 'AbstractFiniteStateMachine' will call these hook methods at the appropriate time, after first performing the necessary state checks and transitions.
This brings together the common sense of life cycle management in the abstract class, reducing repetition and improving maintenance.
</t>
  </si>
  <si>
    <t>`-There are code duplicates.
-The class is large (relative to the problem), meaning we have a Large Class smell.
-We have Switch Statements smell due to the many if/else statements.
-We have Divergent Change smell, because if we want to modify/add an object to the class, we have to change many methods.</t>
  </si>
  <si>
    <t>-Methods per class (WMC) are increased, as all steps (methods) are implemented in the Recipe class.
-The lines of the code (LOC) are increasing.
-The value of Cross-Class Consistency (LCOM) is increased.</t>
  </si>
  <si>
    <t>The best design principle for code improvement is the Open/Closed Principle, which allows us to extend a class without modifying the already existing code.</t>
  </si>
  <si>
    <t>An addition to the system could be a function that checks whether we have the necessary ingredients available to execute the recipe. OCP will help us as we can add the necessary code without interfering with the rest of the methods of the class.</t>
  </si>
  <si>
    <t>Large Class: the program contains only one very large class for all functions. Switch Statements: includes many if conditions. Data Clumps: many grouped attributes that demonstrate the need for other classes.</t>
  </si>
  <si>
    <t>WMC, large class complexity.</t>
  </si>
  <si>
    <t>Strategy patern</t>
  </si>
  <si>
    <t>Added a new machine typePrimeNumbersMachine. Let's say we want to extend the system to support a new finite state machine that prints all prime numbers up to a limit. Creation of a new subclass. Override in methods: start(), execute(), isFinished(), finish(). You don't touch the existing logic of DivisibleNumbersMachine, PushDownAutomaton, or the run().</t>
  </si>
  <si>
    <t>1. Recipe class has no constructor (Object-Orientation Abusers)
2. The ifs don't need to be checked can be done with this.productType (Bloaters)</t>
  </si>
  <si>
    <t>RFC,NPM because it has many tutorials 
CC because code can be written more simply and LCOM</t>
  </si>
  <si>
    <t>Open-closed Principle (OCP) states</t>
  </si>
  <si>
    <t>For everyone to be able to add any recipe they want, it helps because it allows for changes</t>
  </si>
  <si>
    <t>1. Feature Envy
2. Primitive Obsession
3.Long Method
4.Inappropriate Intimacy
5.Switch Statements (or Conditional Logic)
6.Data Clump
Description:
7.Missing Abstraction</t>
  </si>
  <si>
    <t>The metrics affected by bad smells in StateMachine's code, with their specific names, are:
1.LCOM (Lack of Cohesion of Methods): High, due to mixing logics for different types of machines in the same class (Feature Envy, Missing Abstraction).
2.CBO (Coupling Between Objects): High, as the class depends on specific behaviors and data (e.g., stack, Inappropriate Intimacy).
3.CC (Cyclomatic Complexity): Increased, due to complex logic with conditionals (Switch Statements) and large methods (Long Method).
4.WMC (Weighted Methods per Class): High, as the methods contain multiple responsibilities (Long Method, Switch Statements).
5.RFC (Response For a Class): High, due to the need to call multiple methods for different types of machines (Feature Envy, Data Clump).</t>
  </si>
  <si>
    <t>Single Responsibility Principle (SRP): Each class must have only one responsibility. The current StateMachine class handles multiple behaviors
Open-Closed Principle.
Strategy Pattern: This template allows the replacement of logic with conditionals (if/else) with separate implementations (strategies) for each machine type
(Template Method Pattern could also be used, but Strategy is preferable)</t>
  </si>
  <si>
    <t>1.Adding new types of machines
2. Parallel execution of machines (threading)
3.Adding Configurable Termination Conditions</t>
  </si>
  <si>
    <t>Large Class: class methods have an unnecessarily large volume ratio of ifs</t>
  </si>
  <si>
    <t>WMC,LCOM,CBO</t>
  </si>
  <si>
    <t>Factory</t>
  </si>
  <si>
    <t>We can add a new recipe that follows the same steps as the previous ones just by adding the corresponding class</t>
  </si>
  <si>
    <t>🔴 1. Type Code with Conditional Logic
Smell: You're using if (machineType.equals(...)) repeatedly to determine behavior.
Problem: This violates the Open/Closed Principle — the code is not open for extension but is open for modification whenever a new machine type is added.
Fix: Use inheritance and polymorphism. Create a StateMachine base class and subclass it with DivisibleNumbersMachine and PushDownAutomaton.
🔴 2. God Class
Smell: The StateMachine class does too much — it handles logic for two different types of machines, input, processing, and output.
Problem: This makes it harder to test and understand. Changes in one machine type may accidentally affect the other.
Fix: Break the class into smaller, more focused subclasses.
🔴 3. Duplicated Code
Smell: Repeating similar conditional logic in start(), execute(), and finish() methods for each machine type.
Problem: Increases maintenance overhead. Any change in logic means modifying multiple blocks.
Fix: Use method overriding in subclasses to encapsulate behavior.
🔴 4. Inappropriate Intimacy
Smell: Fields like stack are present even when not all machine types use them.
Problem: This ties the class too closely to the internal details of each machine type.
Fix: Move machine-specific data into their respective subclasses.
🔴 5. Feature Envy
Smell: The class checks the machineType string repeatedly instead of asking objects to do the work themselves.
Fix: Let each subclass handle its behavior. The base class should not "envy" the internals of what a PushDownAutomaton or DivisibleNumbersMachine does.
🔴 6. Primitive Obsession
Smell: Using strings (machineType) to indicate behavior.
Problem: Not type-safe. Easy to introduce bugs like new StateMachine(10, "DivisiblNumbersMachine").
Fix: Use polymorphism instead. Avoid using strings or enums to drive behavior in an OO system.
🔴 7. Poor Naming
StateMachine is a vague name. It implies a generic FSM, but your actual implementations are very specific. Consider renaming for clarity in subclasses.</t>
  </si>
  <si>
    <t>✅ Impact of Refactor on Class Metrics
Lines of Code (LOC)
Before: One large class with many responsibilities.
After: LOC reduced per class and logic distributed across multiple focused classes.
✅ Improved readability and maintainability.
Cyclomatic Complexity
Before: High, due to multiple if/else statements controlling behavior.
After: Low in each subclass since control logic is replaced by polymorphism.
✅ Simpler, easier-to-test methods.
Lack of Cohesion of Methods (LCOM)
Before: Low cohesion — unrelated behaviors (e.g., stack operations and divisibility checks) in one class.
After: High cohesion — each class does one specific thing.
✅ Improved modularity and clarity.
Coupling Between Objects (CBO)
Before: Medium — use of strings (machineType) to control flow increased logical coupling.
After: Low — base class defines the interface, subclasses implement it.
✅ More decoupled, extensible design.
Depth of Inheritance Tree (DIT)
Before: Shallow — single class, no inheritance.
After: Slightly deeper — abstract base class with multiple subclasses.
⚠️ Slight increase, but acceptable for the gain in structure and reusability.
Number of Children (NOC)
Before: N/A — no subclassing.
After: Increased — multiple subclasses inheriting from StateMachine.
✅ Indicates increased extensibility.
Response for a Class (RFC)
Before: High — single class responsible for all behaviors.
After: Reduced — each class only responds to its own behavior.
✅ Improved testability and predictability.</t>
  </si>
  <si>
    <t>1. Single Responsibility Principle (SRP)
A class should have only one reason to change.
Before: StateMachine handled all FSM logic for every type.
After: Each machine type (DivisibleNumbersMachine, PushDownAutomaton, etc.) handles its own logic, making each class focused and easier to maintain.
2. Open/Closed Principle (OCP)
Software entities should be open for extension, but closed for modification.
Before: Adding a new FSM required modifying the original class with new if/else blocks.
After: New FSMs can be added by simply subclassing StateMachine, without altering existing code.
3. Liskov Substitution Principle (LSP)
Subtypes must be substitutable for their base types.
Application: All subclasses of StateMachine (like PushDownAutomaton) can be used wherever a StateMachine is expected.
This makes the system flexible and polymorphic.
4. Polymorphism
Objects are treated according to their interface, not their implementation.
Application: The run() method in StateMachine works the same for all machine types — behavior is customized via method overriding.
5. Encapsulation
Internal details of a class are hidden from others.
Before: Fields like stack were exposed or present unnecessarily in a generic machine.
After: Each subclass has its own state (like the stack), encapsulating behavior/data.
6. Don't Repeat Yourself (DRY)
Avoid duplication of logic or code.
Before: Repeated if/else blocks for type-specific logic.
After: Shared structure moved to the base class, custom behavior handled in subclasses.
7. Separation of Concerns (SoC)
Each part of the system should handle a distinct concern.
FSM control flow (run()) is centralized in the base class.
Specific machine behaviors (e.g., sum, divisibility) are handled in dedicated classes.
8. Favor Composition Over Inheritance (partially applied)
Use composition when behavior varies — though this example mainly uses inheritance due to similar structure.
While inheritance works well here, a more advanced design could extract strategies (like ExecutionStrategy) if the FSM steps diverge significantly in structure.</t>
  </si>
  <si>
    <t>Imagine you want to add a new FSM that checks whether each number up to a threshold is a palindrome, and prints the palindromes.
Without Refactor:
You would have to:
Add a new string "PalindromeCheckerMachine" in every if/else block in start(), execute(), finish().
Possibly create new variables only used by that machine but stored in the monolithic StateMachine class.
Risk breaking the logic for other machines.
✅ Advantages of the Refactored FSM Design
Extensibility
Easily add new state machines without modifying existing code.
Follows the Open/Closed Principle.
Encapsulation
Each machine encapsulates its own logic.
Machine-specific data (e.g., stack) lives in the correct class.
Polymorphism
Eliminates conditionals (if/else) based on machine type.
Base class defines a consistent run() flow, subclasses customize behavior.
Reusability
Shared logic (like run() and counter tracking) is reused in the base class.
Common structure, different behavior.
Maintainability
Cleaner, smaller, focused classes are easier to debug and update.
Reduces chance of breaking unrelated functionality.
Testability
Each machine can be tested independently.
Clear separation of concerns improves unit test design.
Readability
Code is easier to understand — behavior is localized to specific classes.
Avoids cluttered and bloated control logic.
Type Safety
Avoids using fragile string-based type identifiers.
Errors are caught at compile time, not runtime.
Design Scalability
The framework supports large-scale additions as a true FSM system.
New machines follow the same contract and integrate seamlessly.
Cleaner Architecture
Adheres to key OO principles: SRP, OCP, LSP.
Leads toward more architectural patterns like Strategy or State Pattern.</t>
  </si>
  <si>
    <t>Violation of the Single Responsibility Principle
The StateMachine class handles many types of machines using if-else statements, which makes code maintenance and extension difficult.
Lack of Polymorphism
Inheritance or interfaces are not used to manage different FSM behaviors, but string comparisons are used instead.
Hard-Coded Values
The use of strings such as "PushDownAutomaton" is prone to errors and makes it difficult to refactor the code.
Unnecessary Fields
The stack field exists in all instances, even those that do not use it.
Non-Extensible Design
Adding new FSM types requires changes to the existing code, instead of adding new independent classes.
Generic Naming &amp; Lack of Abstraction
Methods such as run, execute, and finish are very generic and are reused with different behaviors, creating ambiguity.</t>
  </si>
  <si>
    <t>1. Maintainability
Affected by: Far if-else, hard-coded types, poor separation of responsibilities.
Impact: Any change in one type of machine can affect others. Adding new types requires modifying the base class.
2. Extensibility
Affected by: Lack of polymorphism.
Impact: The Open-Closed Principle is violated. The code is not open for expansion but requires modification.
3. Reusability
Affected by: Close coupling of logic between different types of FSMs.
Effect: You cannot reuse the DivisibleNumbersMachine or PushDownAutomaton logic independently.
4. Readability
Affected by: Use if-else, method overload, lack of abstraction.
Impact: Difficult to understand the role and flow for each type of FSM.
5. Testability
Affected by: Monolithic structure, mixed responsibility.
Impact: Difficult to control units (unit test) for each FSM separately. Mocks or settings need to be made for unrelated places.
6. Coupling &amp; Cohesion
High Coupling: The different types of FSMs are entangled in a single class.
Low Cohesion: The class does many different and unrelated things.</t>
  </si>
  <si>
    <t>Template Method</t>
  </si>
  <si>
    <t>Machine that calculates the sum of all even numbers up to a limit.</t>
  </si>
  <si>
    <t>The code is repetitive and the class is very long</t>
  </si>
  <si>
    <t>Consistency is affected, conjugation, and code is repetitive</t>
  </si>
  <si>
    <t>The principle of open closed could be applied, i.e. the code should be open for extension and closed for modification</t>
  </si>
  <si>
    <t>Possible Extension: Adding a New Recipe</t>
  </si>
  <si>
    <t>PR_OCP2</t>
  </si>
  <si>
    <t>Large class
Data Clumps
Dublicate Code</t>
  </si>
  <si>
    <t xml:space="preserve">WMC 
DIT
CBO
LCOM
</t>
  </si>
  <si>
    <t>SRP
OCP
Factory Method</t>
  </si>
  <si>
    <t>I could add a new role</t>
  </si>
  <si>
    <t>PR_OCP1</t>
  </si>
  <si>
    <t>#### 1. Bad Smells Detected:
* **Type checks with `instanceof` and downcasting:** In the `Main` class, to demonstrate specialized methods, we used `if (p instanceof Vegetable) { Vegetable veg = (Vegetable) p; ... }`. This is a classic "bad smell." Although done here for demonstration purposes, in a larger application, reliance on such checks makes the code difficult to maintain and extend, violating the Open/Closed principle.
* **Primitive Obsession - Possibly:** Fields such as `botanicalFamily`, `typicalGrowingSeason`, `ripenessIndicator`, `originCountry`, `storageTemperature` are simply `String`. In a more complex system, some of these could be made into their own classes or enums (e.g., `enum Season`, class `StorageCondition`) for better typing, validation, and behavior. For the current size of the project, it is acceptable, but it is a point of attention.
* * *Use of `System.out.println` for Logging/Feedback:** Extensive use of `System.out.println` for displaying messages is not flexible and makes it difficult to manage messages (e.g., severity levels, output destinations) in a production environment.</t>
  </si>
  <si>
    <t>#### 2. Metrics Affected:
* **From Type Checking ('instanceof'):**
* **Maintainability:** Decreases. Each new 'Product' subclass requires modification of all 'if-else if' blocks that do type checking.
* **Cyclomatic Complexity:** Increases in the client code that uses these controls.
* **Coupling:** Client code is closely linked to the specific subclasses of 'Product'.
* **From Primitive Obsession:**
* **Readability / Understandability:** It can be reduced if the meaning of a simple string is not immediately obvious or if it incorporates complex rules.
* **Type Safety:** Reduced. A "maturity index" value could be mistakenly assigned to a "country of origin" field.
* **From 'System.out.println':**
* **Configurability / Flexibility:** Low. You can't easily change logging levels, output destinations, etc.</t>
  </si>
  <si>
    <t xml:space="preserve">#### 3. Design Principle or Design Template for Improvement:
* **To deal with 'instanceof' (Type Checking):**
* **Reinforcement of Polymorphism / "Tell, Don't Ask" Principle:** Instead of asking the type of an object and then deciding what to do, it could "tell" the object to perform an action.
* **Solution:** The base class 'Product' could have an abstract or simply an override method from the subclasses, e.g., 'public String getCategorySpecificDetails()'. Each subclass ('Vegetable', 'Fruit', 'Dairy') would implement this method to return its own specialized information. So the code in 'Main' would simply call 'product.getCategorySpecificDetails()' without 'instanceof'.
* **For Tackling Primitive Obsession:**
* **Import Value Objects or Enumerations:**
* E.g., 'typicalGrowingSeason' could become 'enum Season { SPRING, SUMMER, AUTUMN, WINTER, ALL_YEAR }'.
* 'storageTemperature' could become a 'TemperatureRange' or 'StorageInstruction' class.
* **To replace 'System.out.println':**
* **Using a Logging Framework:** E.g., SLF4j with Logback or Log4j2.
</t>
  </si>
  <si>
    <t xml:space="preserve">
#### 4. Potential System Expansion and How the Proposed Solution Helps:
* **Potential Expansion:** Adding a new product item, for example, **'BakeryItem'.
* A 'BakeryItem' can have properties such as 'isGlutenFree' (boolean), 'mainFlourType' (String or enum), 'bestBeforeDays' (int).
* Can have methods like 'getHeatingInstructions()'.
* **Why the proposed solution (polymorphism enhancement) helps in easier implementation:**
* If we had applied the polymorphic method 'getCategorySpecificDetails()' to 'Product' and its subclasses:
1. We would create the new class 'public class BakeryItem extends Product { ... }`.
2. We would add its specialized properties and manufacturer.
3. We would override the 'getCategorySpecificDetails()' method within the 'BakeryItem' to return the information related to the bakery items.
* **Important:** Client code (e.g., the loop in 'Main' that now uses 'instanceof') that would simply call 'product.getCategorySpecificDetails()' **would not need any modification at all**. It would automatically work for 'BakeryItem' items as well.
* This follows the **Open/Closed Principle**: the system is open for expansion (adding new types of products) but closed for modification (the existing code that handles the products does not need to be changed). This makes adding new types of products much easier, faster, and less prone to errors.
</t>
  </si>
  <si>
    <t>1) We have code duplicates
2) We have Inappropriate Intimacy, as the Basket class uses fields from the Player class
3) We have Middle Man smell, since the Player class, beyond its definitions, simply delegates its work to the Basket class.</t>
  </si>
  <si>
    <t>-Lines of code (LOC) are increasing.
-The price of methods per class (WMC) is increased.
-The value of the inheritance tree grade (DIT) is increased.
-Increases cross-class coupling (CBO).</t>
  </si>
  <si>
    <t>One design template we can use is the Template Method, as we can remove duplicates without tampering with the algorithm core.</t>
  </si>
  <si>
    <t>A possible extension of the system is to find all players over 1.95 tall. The Template Method will help to keep the skeleton of the algorithm the same and simply add the step in which the player is retrieved.</t>
  </si>
  <si>
    <t>Duplicate Code: there are three separate lists (vegetables, fruits, dairy) and repetitive logic in many methods. A single List&lt;Product&gt; can be used instead of separate lists per category. Data Clumps: this also occurs due to the above. Speculative Generality: there is a structure (product) that appears to have been designed for future expansion, but currently complicates things unnecessarily. Long Method: the Store class is large and complex.</t>
  </si>
  <si>
    <t>WMC, great complexity of Store class. NOC=3 because the product class has 3 subclasses. CBO, the Store class has a direct dependence on several 3 classes. LCOM, Store has low consistency due to the division into subcategories.</t>
  </si>
  <si>
    <t>Composite Pattern is ideal here because it allows you to treat individual objects and complex collections of objects in a uniform manner.</t>
  </si>
  <si>
    <t>A possible extension is the addition of branches, each of which will have its own products.</t>
  </si>
  <si>
    <t>1. There is no constructor of the Basket class
2. If we want to add a role we need to change all the code 
3. The 3 search methods are unnecessary because they do the same job</t>
  </si>
  <si>
    <t xml:space="preserve">CC and NPM because there are 3 methods for the same thing
CA and DIT since we have superclasses and subclasses
</t>
  </si>
  <si>
    <t>to add roles and to be able to get information about the player we are interested in, e.g. score, wins, etc</t>
  </si>
  <si>
    <t>Code Duplication: The printItemNames method has repetitive code structures (three similar for loops) for iterating over Vegetable, Fruit, and Dairy lists. This violates the DRY (Don't Repeat Yourself) principle.
Lack of Abstraction: The class handles Vegetable, Fruit, and Dairy separately, despite their likely shared behavior (e.g., all have a getName() method). This suggests a missing common interface or superclass (e.g., Product) to unify these types.
Tight Coupling: The class is tightly coupled to specific product types (Vegetable, Fruit, Dairy). Adding a new category (e.g., Meat) requires modifying the class (new list, new methods), violating the Open-Closed Principle.
Primitive Obsession: The use of separate lists for each product type could be simplified by using a single collection (e.g., List&lt;Product&gt;) if a common interface or superclass exists.
Potential Null Pointer Risk: The lists (vegetables, fruits, dairy) are not initialized in the provided code, which could lead to NullPointerException if not handled in the constructor or elsewhere.
Feature Envy: The printItemNames method directly accesses the getName() method of each item, which could be delegated to a more cohesive method in a Product interface or class</t>
  </si>
  <si>
    <t xml:space="preserve">LCOM (Lack of Cohesion of Methods): Store has low consistency due to the separation of lists (vegetables, fruits, dairy) and separate methods (addVegetable, addFruit, addDairy). Methods do not share common sense or data effectively, as each list is handled separately, increasing LCOM.
CBO (Coupling Between Objects): The class depends on three specific classes (Vegetable, Fruit, Dairy), creating a high degree of coupling. If a new product type (e.g. Meat) is added, changes to the code are required, increasing the CBO.
NIT (Number of Instance Types): The class uses three separate types (List&lt;Vegetable&gt;, List&lt;Fruit&gt;, List&lt;Dairy&gt;), increasing the NIT. If there was a common type (e.g., List&lt;Product&gt;), the NIT would be smaller, improving flexibility.
WMC (Weighted Methods per Class): Repetitive methods (addVegetable, addFruit, addDairy) and the printItemNames method with three similar loops increase WMC, as they add unnecessary complexity.
RFC (Response for a Class): Calling getName() to each type (Vegetable, Fruit, Dairy) increases the RFC, as the class depends on the methods of other classes.
NOC (Number of Children): Although the Store has no subclasses, the lack of a common superclass or interface (Product) limits the ability to expand, indirectly affecting this metric in a broader system.
LOC (Lines of Code): Code repetition (e.g., three loops in printItemNames and three add methods) increases lines of code without adding meaningful functionality.
</t>
  </si>
  <si>
    <t>1. Design Principle: Liskov Substitution Principle (LSP)
How it is applied:
We define a common interface, e.g. Product, with the getName() method, which is implemented by Vegetable, Fruit, Dairy.
2. Design Principle: Open/Closed Principle (OCP) (from SOLID)
How it is applied:
With the common Product interface, the Store does not need to change if a new product type is added. It is enough to create a new class that implements Product.
3. Design Principle: Interface Segregation Principle (ISP) (optional)
How it is applied:
We create a simple and specialized Product interface, only with the necessary methods (e.g. getName()), so that all classes can easily implement it.
4. Design Pattern: Composite Pattern
How it is applied:
The Store can have a List &lt;Product&gt;list, which contains any product (dairy, fruit, vegetable), as long as they implement the same interface.</t>
  </si>
  <si>
    <t>Add categories to products:
-Organic products
-Discounts
-Local products</t>
  </si>
  <si>
    <t>multiple fors that could be replaced with 1</t>
  </si>
  <si>
    <t>LCOM</t>
  </si>
  <si>
    <t>Single-responsibility Principle</t>
  </si>
  <si>
    <t>Add a new player</t>
  </si>
  <si>
    <t>1. Duplicate Code (Code Duplication)
You repeat nearly identical code three times for each category:
Three addX() methods
Three separate List&lt;X&gt; fields
Three loops in printItemNames()
This is repetitive and violates the DRY (Don't Repeat Yourself) principle.
2. Shotgun Surgery
If you want to add a new category (e.g., Bakery), you would need to:
Add a new field: List&lt;Bakery&gt; bakery;
Add a new method: addBakery(Bakery item)
Update getTotalItems()
Update printItemNames()
This spreads changes across multiple places in the code—shotgun surgery, which makes maintenance error-prone.
3. Primitive Obsession
Using separate List&lt;Vegetable&gt;, List&lt;Fruit&gt;, and List&lt;Dairy&gt; instead of one generic list like List&lt;Product&gt; implies over-reliance on concrete types. You're ignoring the polymorphic behavior that OOP allows through the abstract Product class.
4. Lack of Polymorphism Usage
Even though Vegetable, Fruit, and Dairy extend Product, you're not using this inheritance effectively. You're managing them separately when they could be handled via List&lt;Product&gt; and polymorphism.
5. Inconsistent Initialization
You're calling .add() on the lists without showing their initialization. If the constructor doesn't initialize these lists, you'll get a NullPointerException.
6. Class Doing Too Much (God Class)
The Store class is micromanaging multiple categories of items, suggesting that responsibilities aren't well-distributed.</t>
  </si>
  <si>
    <t>1. Coupling Between Object Classes (CBO)
Before: Store was tightly coupled to Vegetable, Fruit, and Dairy. Any new category meant more dependencies in Store.
After: Store now only depends on the Product abstraction. Adding new types like Bakery or Meat doesn't affect Store.
Result: CBO decreased —&gt; better modularity, lower risk of ripple effects.
2. Lack of Cohesion in Methods (LCOM)
Before: Methods operated on completely different lists (vegetables, fruits, dairy), indicating low cohesion.
After: All methods operate on a single List&lt;Product&gt; and share common behavior.
Result: LCOM decreased —&gt; higher cohesion, better class focus.
3. Depth of Inheritance Tree (DIT)
No significant change: The inheritance hierarchy (Product → Fruit/Vegetable/Dairy) remains the same.
4. Number of Children (NOC)
No significant change: Product still has the same number of subclasses.
Result: NOC unchanged, but the design now better leverages it.
5. Response for a Class (RFC)
Before: Store had more methods due to separate addX() and category-specific loops.
After: Consolidated into fewer, more generalized methods like addProduct().
Result: RFC decreased —&gt; simpler, more predictable class behavior.
6. Cyclomatic Complexity (within methods)
Before: printItemNames() and getTotalItems() used three loops/expressions.
After: Reduced to one unified loop/logic.
Result: Cyclomatic complexity decreased —&gt; easier to test and maintain.</t>
  </si>
  <si>
    <t>1. Single Responsibility Principle (SRP)
Each class should have only one reason to change.
Store handles adding products, managing separate lists, printing names, and calculating totals—too many responsibilities.
Solution:
Make Store manage a single collection of Product items.
If needed, delegate category-based grouping to another class or method.
2. Open/Closed Principle (OCP)
Software entities should be open for extension but closed for modification.
Adding a new product type (e.g., Bakery) requires modifying the Store class in multiple places.
Solution:
Use List&lt;Product&gt; instead of List&lt;Fruit&gt;, List&lt;Vegetable&gt;, etc.
Rely on polymorphism—no changes needed when adding new subclasses of Product.
3. Liskov Substitution Principle (LSP)
Subtypes must be substitutable for their base types.
You're not using polymorphism even though all items inherit from Product.
Solution:
Store and operate on products through their base type (Product), leveraging methods like getName() defined in the abstract class.
5. Dependency Inversion Principle (DIP)
Depend on abstractions, not concretions.
Store is tightly coupled to concrete classes like Vegetable, Fruit, and Dairy.
Solution:
Depend only on the Product abstraction.
Avoid hardcoding logic specific to subclasses unless absolutely necessary.
6. DRY (Don’t Repeat Yourself)
Eliminate duplication.
Redundant add, loop, and counting logic per category.
Solution:
Use one generic list (List&lt;Product&gt;) and reduce repetitive code.</t>
  </si>
  <si>
    <t>Extension Idea: Add Category-Based Queries
Allow the Store to filter and operate on products by category, e.g.:
Count how many products belong to each category
Print only fruits or only vegetables
Later, apply discounts or shelf life rules per category</t>
  </si>
  <si>
    <t>Code Badies
Code Repetition:
The printItemNames method repeats the same code for each product category.
Violation of the Open/Closed Principle:
If a new product category is added (e.g., Meat), changes must be made in many places in the code.
Poor Use of Inheritance:
All products are Product, so it would be better to use List&lt;Product&gt; instead of separate lists.
Low Cohesion:
The Store manages multiple lists with repetitive logical code.
Error Probability (NullPointerException):
The lists are not initialized, which can lead to an error during execution.
Scalability Issues:
Adding new categories is difficult and prone to errors.</t>
  </si>
  <si>
    <t>Cyclomatic Complexity
Effect: Increases due to repetitive logic and loops.
Why it matters: The greater the complexity, the more difficult the code becomes to understand and maintain.
Coupling Between Objects (CBO)
Effect: Increased because Store is directly dependent on the Vegetable, Fruit, Dairy subclasses.
Why it matters: Tight coupling makes code less scalable and more difficult to maintain.
Lack of Cohesion in Methods (LCOM)
Effect: Increases as different functions (for separate product lists) coexist in the same class.
Why it matters: Low consistency means that the class does "too much" and is difficult to use.
Lines of Code (LOC)
Effect: They increase due to repetition and lack of generalization.
Why it matters: More code means higher maintenance costs and more chances for errors.
Depth of Inheritance Tree (DIT)
Indirect Effect: Although there is a hierarchy (Product → Vegetable/Fruit/Dairy), its misuse makes it difficult to use.
Number of Children (NOC)
Impact: Store depends on existing subclasses, so adding a new class requires modifications, rather than plug-and-play.
Response For a Class (RFC)
Effect: Increases, since the Store calls methods (getName) for different types of objects.
Why it matters: The more methods called, the harder it is to test and debug.</t>
  </si>
  <si>
    <t>Composite Design Pattern</t>
  </si>
  <si>
    <t>Add Above Product Types</t>
  </si>
  <si>
    <t>there is a repeating code</t>
  </si>
  <si>
    <t>coherence, coupling and heredity are affected</t>
  </si>
  <si>
    <t>THE DESIGN PRINCIPLE OF OPEN-CLOSED</t>
  </si>
  <si>
    <t>ADD SCORE OF EACH PLAYER</t>
  </si>
  <si>
    <t>1. Long Method
2. Duplicate Code
3. Primitive Obsession
4. Switch Statements (Code Duplication &amp; Rigidity)
5. Poor Naming
6. Lack of Comments / JavaDoc
7. God Class
8. Hardcoded Values</t>
  </si>
  <si>
    <t>1. Cyclomatic Complexity
2. Lines of Code (LOC)
3. Code Duplication
4. Lack of Cohesion in Methods (LCOM)
5. Cognitive Complexity
6. Maintainability Index
7. Coupling
8. Reusability</t>
  </si>
  <si>
    <t>1. Single Responsibility Principle (SRP)
2. Open/Closed Principle (OCP)
3. Don't Repeat Yourself (DRY)
4. Encapsulate What Varies
Design Patterns to Use
1. Strategy Pattern
2. Command Pattern
3. Factory Method Pattern
4. Template Method Pattern
5. Model-View-Controller (MVC)</t>
  </si>
  <si>
    <t>A logical extension of the system is to support store employees. For example, we can have different roles:
Cashier
Stocker
Manager</t>
  </si>
  <si>
    <t>`-We have duplicate code in the addition methods.
-We have type-based handling because the code does not treat all products as Product objects.
-There is a violation of the Open/Closed Principle.</t>
  </si>
  <si>
    <t>-Increasing Cyclomatic Complexity
-The lines of the code (LOC) are increasing.
-The price of CBO is increasing.
-The price of LCOM is increasing.
-The Maintainability Index is increasing.</t>
  </si>
  <si>
    <t>A design principle that can be used in this code is the Open/Closed Principle (OCP), i.e. the code should be open to extensions but not modifications.</t>
  </si>
  <si>
    <t>We can add a new type of products (e.g. Bakery). With the OCP design principle we can add a new Bakery class without modifying the already existing Store class.</t>
  </si>
  <si>
    <t>Duplicate code, the getAllPlayers method has lines of repetitive code that can be avoided. Middle Man, the Player class is not used.</t>
  </si>
  <si>
    <t>CBO, Basket class is dependent on 3 other classes.</t>
  </si>
  <si>
    <t>Perhaps the Single Responsibility Principle would improve the code. The Basket class wouldn't do all the operations, but it would call the appropriate methods from other classes.</t>
  </si>
  <si>
    <t>A possible extension is the addition of another player role. Adding an extra role will not change the Basket class and the Player class, there will only be a new class creation with the new role that will make extend Player.</t>
  </si>
  <si>
    <t xml:space="preserve">1. Code Smell: Duplicated Code
The printItemNames() and getTotalItems() methods repeat similar code for the three categories (vegetables, fruits, dairy).
2. Code Smell: Violation of Open/Closed Principle
If you add a new product category (e.g., Meat), you have to change the structure of the Store class. This is a violation of the Open/Closed Principle (open for extension, closed for modification).
3. Code Smell: Too Many Instance Variables
You have 3 lists (vegetables, fruits, dairy) that manage the same type of objects: Product. This excessive specialization creates confusion and extra code.
4. Code Smell: Potential NullPointerException
The vegetables, fruits, and dairy lists do not appear to be initialized. If you try to use .add() without initialization, it will throw a NullPointerException.
5. Code Smell: Duplicated Add Methods
addVegetable, addFruit, addDairy: 3 almost identical methods, again violating the DRY principle (Don't Repeat Yourself).
</t>
  </si>
  <si>
    <t xml:space="preserve">1. Maintainability
Violation of the Open/Closed Principle means that every time a new product category is added, the Store class must be modified.
This increases maintenance costs and makes the code more prone to bugs.
Effect: Lower maintainability score.
2. Code Duplication
The same pieces of code (looping lists, adding elements) are repeated in three separate lists and methods.
Repetition increases the amount of code and makes it difficult to understand and change.
Effect: Increase in lines of code (LOC), higher cyclomatic complexity.
3. Cyclomatic Complexity
Multiple separate loops increase complexity.
More disciplines and a more complex control flow mean harder to understand and test.
4. Coupling
Store has a high coupling because it is directly dependent on the specific subclasses Vegetable, Fruit, Dairy.
This makes the code more difficult to expand and change.
5. Cohesion
Store has moderate cohesion, but managing 3 different lists for a common abstraction (Product) shows that the structure is more complex than it needs to be.
If the Store managed a list of Products (common supertype), consistency would be better.
6. Size (Code Size)
Three separate lists, multiple almost identical methods increase the volume of the code, so the size (LOC) goes up unnecessarily.
7. Null Reference Risk
Not initializing lists increases the risk of runtime exceptions, which negatively impacts reliability and stability.
</t>
  </si>
  <si>
    <t>Open/Closed Principle (OCP)
"Classes must be open for expansion but closed for modification."</t>
  </si>
  <si>
    <t>Potential Expansion:
Adding a new type of product, e.g. Meat
Why does the solution help to make it easier to implement?
Closed for modification, open for extension: You don't have to tamper with existing code to add new functionality.
Simple and clean addition of new product types: You simply create new classes that extend the Product.
Reduces the risk of bugs: Because you don't change the code that is already working, you avoid bugs resulting from changes.
Better maintainability: The system remains flexible and scalable.
Similarly, if we wanted to expand to another area (e.g. adding employees), we can apply a similar principle:
We create an employee as an abstract Employee, and extensions such as Cashier, Manager, etc., without touching the store's code.</t>
  </si>
  <si>
    <t>Duplicate Code: getAllPlayers() method repeats 3 times similar code
Shotgun Surgery: the addition of a new role, e.g. substitutes, needs many changes in the code</t>
  </si>
  <si>
    <t>CBO: the addition of a new role affects it negatively while if it had only communication with the player class instead of each role it would be more correct
LCOM: searchForwarder, searchDefender and searchAttacker independent of each other
NOC: is 3 when it could be 1 (player only)
WMC: 3 similar methods when it could be just one</t>
  </si>
  <si>
    <t>Dependency Inversion Principle and Open-Closed Principle
Design Model: Composite</t>
  </si>
  <si>
    <t xml:space="preserve">Adding separate attributes for each player position
</t>
  </si>
  <si>
    <t>Reuse of code, Non-extensible code</t>
  </si>
  <si>
    <t>CC,LOC,LCOM,CBO,DIT</t>
  </si>
  <si>
    <t>Composite and OCP</t>
  </si>
  <si>
    <t>Adding a new product category e.g. Bakery It's easier with the new code version because we're just going to add a class</t>
  </si>
  <si>
    <t>Primitive Obsession can be observed as the class relies on specific player types (Attacker, Defender etc) instead of the Player abstraction. That also causes Shotgun Surgery problems as adding new player types requires modifying both the class data fields and multiple functions. There is also Duplicate Code since multiple functions do the same thing, just on different arrays</t>
  </si>
  <si>
    <t>The WMC has been reduced, because methods like getAllPlayers have been significantly simplified with the rest remaining unchanged. The DIT and NOC remain unchanged since we didn't modify the inheritance tree. The RFC has been reduced since we have deduplicated several methods into a single searchPlayer. The CBO has also been reduced as the class is now only coupled with the Player interface, instead of the many concrete types. We also observe better cohesion between the methods, which affects LCOM, since all methods now use the players list, instead of separate unrelated members</t>
  </si>
  <si>
    <t>We can apply the Open-Closed Principle to ensure that extending the class doesn't require its modification. So the Basket class should operate on the Player abstraction and not on concrete types directly. Then Liskov Substitution Principle can be applied to ensure all player roles have a common and functional Player interface that the team class can use. Applying these will also indirectly apply other principles such as the DRY (don't repeat yourself) principle, since the code will be automatically deduplicated</t>
  </si>
  <si>
    <t>With the refactored version we can add a new player type by simply inheriting from Player class. The Basket class doesn't need any change</t>
  </si>
  <si>
    <t>Lack of polymorphism, the code explicitly controls each player position while there could be a player class. multiple for-loops to iterate players, there could be a for-loop</t>
  </si>
  <si>
    <t>Code Repeat, Long Pairing</t>
  </si>
  <si>
    <t>Composite pattern</t>
  </si>
  <si>
    <t>Easy search for the managers of a team's players - assuming there is an implementation</t>
  </si>
  <si>
    <t>1. Duplicated Code
java
Copy
Edit
public void addVegetable(Vegetable item){ this.vegetables.add(item); }
public void addFruit(Fruit item){ this.fruits.add(item); }
public void addDairy(Dairy item){ this.dairy.add(item); }
The code for adding products is almost identical. This violates the DRY principle (Don't Repeat Yourself).
❗ It is recommended to use a common structure, e.g. List&lt;Product&gt; instead of separate lists.
🔴 2. Data Clumps
java
Copy
Edit
List&lt;Vegetable&gt; vegetables;
List&lt;Fruit&gt; fruits;
List&lt;Dairy&gt; dairy;
The repetition of similar variables indicates the need for a more abstract structure (e.g., a list of all Products).
🔴 3. Violation of Liskov Substitution Principle (LSP)
Although Vegetable, Fruit, and Dairy inherit from Product, the Store code does not treat them uniformly as Products, which reduces the benefits of inheritance.
🟠 4. Primitive Obsession / Lack of Polymorphism
The printItemNames() method handles each product type separately:
java
Copy
Edit
for (Vegetable v : vegetables){ System.out.println(v.getName()); }
Instead, it could use a List&lt;Product&gt; collection and take advantage of polymorphism.
🔴 5. Lack of Initialization
The lists do not appear to be initialized:
java
Copy
Edit
List&lt;Vegetable&gt; vegetables;
If they are not initialized (e.g., with new ArrayList&lt;&gt;()), a NullPointerException will occur. 🔁 Suggested Restructuring Use: java Copy Edit List&lt;Product&gt; products; and: java Copy Edit public void addProduct(Product item) { this.products.add(item); }</t>
  </si>
  <si>
    <t>✅ 1. LCOM (Lack of Cohesion in Methods)
It is negatively affected.
The Store industry has many fields (vegetables, fruits, dairy) that are used by different methods. The methods do not share common sense or data.
👉 Low consistency indicates that the industry is doing "a lot of different things."
✅ 2. WMC (Weighted Methods per Class)
It grows artificially due to the repeated methods addVegetable, addFruit, addDairy.
👉 More methods mean more complexity, and therefore more effort to maintain and understand.
✅ 3. CBO (Coupling Between Objects)
It is negatively affected.
The Store industry depends on many specific implementations (Vegetable, Fruit, Dairy) instead of the abstract Product.
👉 This coupling reduces reusability and flexibility.
✅ 4. DIT (Depth of Inheritance Tree) and NOC (Number of Children)
While not directly affected by bad odors in the Store, bad uses of inheritance (such as not taking advantage of polymorphism) degrade the usefulness of the inheritance hierarchy.
✅ 5. LOC (Lines of Code)
The code is unnecessarily long due to repetition.
Reducing repetition leads to fewer lines, so clearer and easier to read code.
✅ 6. Maintainability Index (MI)
It is indirectly affected.
All of the above metrics (coherence, coupling, complexity) affect the maintainability of the software.</t>
  </si>
  <si>
    <t>1. Design Principle: Open/Closed Principle (OCP)
Open/Closed Principle: "Software entities must be open for extension but closed for modification."
➤ What's going wrong:
The Store industry must be modified each time a new product category is added.
✔ How it helps:
Instead of having separate lists for each product type, we can use a List&lt;Product&gt;. So, new product types don't require a change in the Store.
✅ 2. Design Principle: Liskov Substitution Principle (LSP)
Subclasses must be able to be used in place of the superclass without disrupting the operation of the program.
➤ What's going wrong:
The code does not treat Vegetable, Fruit, Dairy objects as a Product.
✔ How it helps:
Using polymorphism and a common List &lt;Product&gt;list, the code takes full advantage of the inheritance relationship.
✅ 3. Design Template: Composite Pattern
It allows objects to be edited individually or in groups in the same way.
➤ What's going wrong:
The code handles products as separate lists and cannot process them in a single way.
✔ How it helps:
We create a single Product interface and apply Composite so that products can be organized and processed uniformly (e.g. as a Category containing many Products).
✅ 4. Alternatively: Strategy Pattern or Factory Pattern
Strategy: If the products behave differently for some functions.
Factory: If we want to create products dynamically based on type without if or switch.</t>
  </si>
  <si>
    <t>✅ Possible Expansion of the System: Addition of Employee Type
Let's say we want to expand the system to support various types of employees, including:
Cashier (Treasurer)
StockManager (Warehouse Manager)
Cleaner
Each type of employee will have different responsibilities and potentially different interactions with the products.
🔍 How the existing solution helps:
The redesigned solution applies the Open/Closed and Liskov Substitution principles, which means:
1. Scalability without changing existing code
We can create a new hierarchy:
java
Transcription
Elaboration
abstract class Employee {
public abstract void performDuties();
}
class Cashier extends Employee {
@Override
public void performDuties() {
System.out.println("Processing payments.");
}
}
class StockManager extends Employee {
@Override
public void performDuties() {
System.out.println("Organizing stock.");
}
}
✅ No modification is needed in the Store or Product industry.
2. Unified representation of objects
Just as products are stored in a common List&lt;Product&gt;, employees can be saved in a List&lt;Employee&gt;.
Thus, we can write:
java
Transcription
Elaboration
for (Employee e : employees) {
e.performDuties();
}
3. Ease of Future Maintenance
If we add new employee roles (e.g., SecurityGuard, ITSupport), we simply add new classes without "tampering" with the old ones.
🧠 General Conclusion:
The application of good design principles such as OCP and the use of polymorphism:
reduces coupling,
increases cohesion,
and leads to a system that is easily scalable and reusable.</t>
  </si>
  <si>
    <t>PR_SRP2</t>
  </si>
  <si>
    <t>1. Data Clumps
2. Primitive Obsession
3. Long Method
4. Feature Envy
5. Possible NullPointerException
6. Duplication
7. Typo/Mistake</t>
  </si>
  <si>
    <t>LOC 
CC
Cohesion
Coupling
Maintainability Index 
Duplication
Lack of Encapsulation</t>
  </si>
  <si>
    <t>SRP
OCP
Encapsulation 
Don't Repeat Yourself
Strategy Pattern
Factory Pattern
Builder Pattern</t>
  </si>
  <si>
    <t>Add a new type of cost calculation:
For example, we also want to calculate the cost of music/entertainment for the wedding, depending on the number of people and the type of band</t>
  </si>
  <si>
    <t>PR_SRP1</t>
  </si>
  <si>
    <t>`.-We have Primitive Obsession, as the Venue field is stored as a simple String, making it difficult to add details for a Venue.
-There is Feature Envy, because the calculateFoodCost method constantly checks p.isVegan for each person. This shows that this logic is tightly coupled with the Person class.
-The calculateFoodCost and calcPhotosCost methods are long methods.
-We have Data Clumping, as vegans and non-vegans have the same logic."</t>
  </si>
  <si>
    <t xml:space="preserve">-The Maintainability Index is reduced.
-Cyclomatic Complexity increases due to the many if/else commands.
-Cross-class coupling (CBO) is increased due to the close connection to the Person class.
-Lines of code (LOC) are increasing.
</t>
  </si>
  <si>
    <t>One design principle that can help improve this code is the Single Responsibility Principle (SRP). That is, we will create more classes that are connected to each other and each of them will have a specific function.</t>
  </si>
  <si>
    <t>One addition to the system could be the addition of premium photography rates. The SRP design principle helps with the fact that to make this change, we simply add a new premium class of PhotographyService, without making any changes to the rest of the functions.</t>
  </si>
  <si>
    <t>Switch Statements, includes many if conditions. Dead Code, the age variable is not used anywhere. Large class</t>
  </si>
  <si>
    <t>Maybe the WMC is a little affected.</t>
  </si>
  <si>
    <t>Open/Closed Principle.</t>
  </si>
  <si>
    <t>Add another type of employee. Simply add an extra class without modifying the existing code</t>
  </si>
  <si>
    <t>1. Code Smell: Duplicated Code
The printItemNames() and getTotalItems() methods repeat similar code for the three categories (vegetables, fruits, dairy).
2. Code Smell: Violation of Open/Closed Principle
If you add a new product category (e.g., Meat), you have to change the structure of the Store class. This is a violation of the Open/Closed Principle (open for extension, closed for modification).
3. Code Smell: Too Many Instance Variables
You have 3 lists (vegetables, fruits, dairy) that manage the same type of objects: Product. This excessive specialization creates confusion and extra code.
4. Code Smell: Potential NullPointerException
The vegetables, fruits, and dairy lists do not appear to be initialized. If you try to use .add() without initialization, it will throw a NullPointerException.
5. Code Smell: Duplicated Add Methods
addVegetable, addFruit, addDairy: 3 almost identical methods, again violating the DRY principle (Don't Repeat Yourself).</t>
  </si>
  <si>
    <t>1. Cyclomatic Complexity
What counts: The number of independent execution paths through a method.
How it is affected: It increases due to the many if-else and branches in the calculateFoodCost() and calcPhotosCost() methods.
Result: More difficult unit testing, higher probability of errors.
2. Cohesion
What counts: How relevant the methods and fields of a class are to each other.
How it is affected: Wedding does a lot of things (adds people, calculates food and photo costs) and its consistency decreases.
Consequence: The class is not Single Responsibility (violation of SRP - Single Responsibility Principle).
3. Coupling
What counts: How much one class depends on others.
How it is affected: If the Person class changes (e.g. the isVegan()) method changes), Wedding is affected.
Consistency: High coupling → difficult maintenance and reuse.
4. Lines of Code (LOC)
How it is affected: The methods contain a lot of logic without modularization.
Consistency: Increased LOC → more difficult to read and maintain.
5. Lack of Encapsulation / Information Hiding
How it is affected: The people list can be accessed directly from methods, without protection.
Consequence: Violation of the OOP principles → a high risk of errors due to uncontrolled changes.
6. Maintainability Index
How it is affected: The combination of high complexity, LOC, and low consistency reduces code maintainability.
Consequence: Difficult changes and increased technical debt.
7. Testability
How it is affected: Difficult to individually check the cost logic because everything is "tightened" in one method.
Result: More dependencies → difficult unit testing.</t>
  </si>
  <si>
    <t>Single Responsibility (SRP)</t>
  </si>
  <si>
    <t>New Requirement: Addition of costs for staff
The business wants to add employee costs for the wedding, e.g.:
Chef: 100€/person
Waiter: 50€/person
DJ: 200€ flat fee
How Existing Architecture Helps
The implementation of the Strategy Pattern and the Single Responsibility Principle (SRP) makes it easy and clean to extend the cost logic, without any changes to the existing code of the Wedding class.</t>
  </si>
  <si>
    <t>Primitive Obsession: the position field (String) accepts specific values ("junior", "mid-level", "senior") and is hardcoded in calcEmployeeSalary
maybe even Code Duplication with if - else
Divergent Change
Large Class</t>
  </si>
  <si>
    <t>CBO and NOC are 0 which means that the class performs many functions on its own, and this makes scalability difficult
The ALPSOM is affected there are several methods, perhaps it can be improved</t>
  </si>
  <si>
    <t>Single-Responsibility Principle class must not calculate salaries, it is not a property for Employee class</t>
  </si>
  <si>
    <t>Add a manager role or custom methods for junior, mid-level,senior employee</t>
  </si>
  <si>
    <t>No Separation of Concerns</t>
  </si>
  <si>
    <t>Low Cohesion,CC,LOC,Scalability</t>
  </si>
  <si>
    <t>Strategy</t>
  </si>
  <si>
    <t>Addition of special food categories e.g. Gluten-free with the addition of a new class without getting involved with the Wedding class</t>
  </si>
  <si>
    <t>Primitive Obsession as position is a plain string instead of an enum</t>
  </si>
  <si>
    <t>The WMC has been reduced as calcEmployeeSalary is now less complex than before. The rest of the metrics are unchanged.</t>
  </si>
  <si>
    <t>Open-Closed Principle can be applied by making the position type into an enum that also maps the wage per hour, so we can avoid the if statements in the class and make it more generic/extendable</t>
  </si>
  <si>
    <t>Adding a new position type only needs an enum addition and doesn't need modification to the class itself</t>
  </si>
  <si>
    <t>High cyclical complexity (many IFS) and non-use of object-oriented principles for employee types</t>
  </si>
  <si>
    <t>strategy pattern</t>
  </si>
  <si>
    <t>high circuit complexity, very large class, high coupling</t>
  </si>
  <si>
    <t>Add employee type e.g. Manager</t>
  </si>
  <si>
    <t>1. Long Method
calculateFoodCost() and calcPhotosCost() contain a lot of logic within a single method.
Problem: Difficulty in maintenance and reusable code.
Solution: Extract helper methods, such as countVegans() or getMealPrice().
🔴 2. Primitive Obsession
Use of simple types (double, int) for concepts such as "meal cost" and "photographer cost."
Problem: Hard-coded values (magic numbers).
Solution: Create constants or even separate classes such as MealCostCalculator or PhotographerService.
🔴 3. Magic Numbers
Values such as 3, 3.5, 2, 2.5, 500, 600, 0.75 are hard-coded.
Problem: They do not explain their meaning, difficult to change in many places.
Solution: Use constants, e.g., static final int FOOD_DISCOUNT_THRESHOLD = 500;
🔴 4. Duplicated Code
The cost calculation logic contains similar calculations for vegan and non-vegan items.
Solution: Create a common calculation method with unit prices as input.
🔴 5. Inappropriate Intimacy
The Wedding class calculates many details for other concepts (e.g., catering, photographer).
Solution: Assign responsibility to separate classes (CateringService, PhotographyService).
🔴 6. Lack of Encapsulation
The people list is modifiable via addPerson, but without any checks or protection. Solution: Return a copy of the list or use Collections.unmodifiableList. 🔴 7. Missing Null Checks / Validation There are no checks for null values or empty conditions. Problem: Possible NullPointerException. Solution: Validity checks when entering individuals or creating the object. ✳️ Suggested Improvements (Refactorings): Extract Method – Break up large methods. Introduce Constant – Convert magic numbers to constants. Move Method – Transfer responsibilities to appropriate classes. Replace Primitive with Object – Use specific types instead of double, int.</t>
  </si>
  <si>
    <t>✅ 1. Cyclomatic Complexity (Κυκλωματική Πολυπλοκότητα)
What it is: Counts the number of independent paths through the code (if, for, else, etc.).
Affected by: The long calculateFoodCost() and calcPhotosCost() methods, which contain branches (if, for).
Consequence: Difficulty in testing and understanding, increased risk of errors.
✅ 2. Lines of Code (LOC)
What it is: The number of lines of code in a method or class.
Affected by: The absence of reconstruction and the existence of repetitive logic.
Consistency: Reduced readability and increased maintenance complexity.
✅ 3. Lack of Cohesion in Methods (LCOM)
What it is: It measures the degree of consistency between the methods of a class.
Affected by: The existence of many responsibilities in Wedding (management of space, food, photographer).
Consequence: Violation of the Single Responsibility Principle (SRP), indicating that the class should be split.
✅ 4. Coupling Between Objects (CBO)
What it is: It counts the number of other classes that a class has a dependency on.
Influenced by: Wedding's dependence on the implementation of Person and internal knowledge of catering and photographer costs.
Consistency: Increased degree of coupling, reduced reuse, and increased cost of changes.
✅ 5. Maintainability Index
What it is: A combinatorial metric that shows how easily code can be maintained.
Affected by: All of the above odors (large methods, complexity, coupling).
Result: Lower score, therefore greater difficulty in maintaining the system.
✅ 6. Code Duplication
Affected by: The dual cost calculation logic per user category (vegan / non-vegan).
Consequence: An increase in technical debt and the possibility of inconsistent changes in the future.
🔚 Summarizing:
The metrics above show that the code:
It is not very cohesive,
It is relatively complex,
It is hard to maintain.</t>
  </si>
  <si>
    <t>✅ 1. Single Responsibility Principle (SRP) – Αρχή Μοναδικής Ευθύνης
What it says: Each class should have only one responsibility.
Application: The Wedding class takes on too many responsibilities (venue, food, photographer).
Improvement:
Create separate classes:
CateringService
PhotographyService
GuestListManager
✅ 2. Open/Closed Principle (OCP)
What it says: Classes must be open for expansion, but closed for modification.
Problem: If the cost calculation method changes, the Wedding class must be changed.
Improvement:
Use of strategies (Strategy Pattern) for cost calculations.
✅ 3. Strategy Pattern
What it does: It defines a family of algorithms (e.g., cost calculation) and makes them interchangeable.
Application:
FoodCostCalculator interface with implementations:
StandardFoodCostCalculator
DiscountedFoodCostCalculator
PhotoCostCalculator with similar strategies.
✅ 4. Dependency Injection (DI)
What it does: It introduces dependencies via constructor or setter, rather than creating them internally.
Application:
Wedding to accept CateringService and PhotographerService as parameters.
It increases reusability and makes the unit more easily testable.
✅ 5. Composition over Inheritance
What it says: Prefer object composition instead of heredity.
Application:
Wedding is "composed" of services, instead of implementing everything.
✅ 6. Interface Segregation Principle (ISP)
What it says: Customers shouldn't depend on interfaces they don't use.
Application:
Use of small, specialized interfaces (e.g. CostCalculator, PersonFilter)</t>
  </si>
  <si>
    <t>✅ Potential System Expansion: Adding a DJ/Musician as an Employee
🧩 Extension Description:
A client wants to hire a DJ or live music for their wedding. The cost depends on the number of people and the type of music service:
DJ: 100€ basic charge + 0.5€/person
Live Band: 300€ basic charge + 1€/person
🎯 Target:
To add this feature without modifying the existing Wedding code, applying Open/Closed Principle and leveraging the existing Strategy Pattern.
🧱 How the existing solution helps:
Item How it helps
✅ Strategy Pattern We can create a new interface MusicServiceCostCalculator and interchangeable implementations (DJService, LiveBandService)
✅ Dependency Injection Wedding can receive additional services as parameters in its constructor
✅ Single Responsibility Principle The new logic is clearly separated into its own class, without "contaminating" the rest of the cost calculation
💡 Example Extension Code:
java
Copy
Edit
public interface MusicServiceCostCalculator {
double calculate(List&lt;Person&gt; people);
}
public class DJService implements MusicServiceCostCalculator {
public double calculate(List&lt;Person&gt; people) {
return 100 + people.size() * 0.5;
}
}
public class LiveBandService implements MusicServiceCostCalculator {
public double calculate(List&lt;Person&gt; people) {
return 300 + people.size();
}
}
🧪 How to use:
java
Copy
Edit
MusicServiceCostCalculator music = new DJService(); or new LiveBandService();
double musicCost = music.calculate(people);
✅ Benefits:
Extensibility without changing existing code
Reuse Cost Logic
Clean and easy-to-read design</t>
  </si>
  <si>
    <t>Data Clumbs
Duplicate cote</t>
  </si>
  <si>
    <t>WMC
RFC
LCOM</t>
  </si>
  <si>
    <t>SRP
OCP 
Factory Method</t>
  </si>
  <si>
    <t>Adding a new type of employee with a different payroll method</t>
  </si>
  <si>
    <t>**1. Bad Smells Identified (or that could appear as the project progresses):**
* **Mild "Primitive Obsession":**
* The `venue` in `WeddingEvent` is `String` and `photographerAssigned` is `boolean`. If the information about the venue (e.g., address, capacity) or the photographer (e.g., name, package) became more complex, these primitive types would be insufficient and constitute a "bad smell."
* **Direct Instantiation of Services:**
* The `EventCostCalculator` class directly creates the `CateringCostService` and `PhotographyCostService` (`new CateringCostService()`). This creates tight coupling. In a small system, this is acceptable (KISS principle), but in larger systems, it makes testing (e.g., using mock objects) and flexibility (e.g., changing service implementations) difficult.
* **Scattered Configuration Constants (potentially):**
* Pricing constants (e.g., meal prices, participant limits) are defined within the corresponding service classes (`CateringCostService`, `PhotographyCostService`). For the current size, this is clear. However, if the pricing rules became numerous or had to change frequently without recompilation, this approach would lead to scattered configuration.</t>
  </si>
  <si>
    <t xml:space="preserve">**2. Metrics Affected:**
* **Primitive Obsession:**
**Maintainability:** Decreases if the logic around primary formulas becomes complex.
* **Extensibility:** Decreases as adding related data requires changes to the class that owns the primary type.
* **Instant Service Creation:**
* **Coupling:** Increments between the 'EventCostCalculator' and the specific service implementations.
**Testability:** It decreases, as it is more difficult to replace dependencies with mocks for individual tests.
* **Flexibility:** Decreases, as changing a service implementation requires a change in the 'EventCostCalculator' code.
* **Scattered Configuration Constants (on a larger scale):**
* **Maintainability:** Reduces if the rules need to be changed in several places.
* **Cohesion of the configuration:** Decreases.
</t>
  </si>
  <si>
    <t xml:space="preserve">**3. Design Principle or Design Template for Improvement:**
* **For "Primitive Obsession":**
* **Principle:** Encapsulation, Single Responsibility Principle (SRP).
* **Practice/Standard:** Insert Value Objects or special classes (e.g., 'VenueDetails', 'PhotographerDetails').
* **For Instant Service Creation:**
* **Principle:** Dependency Inversion Principle (DIP), Inversion of Control (IoC).
* **Standard:** Dependency Injection (e.g. through a manufacturer), Strategy Pattern if the implementations of the services may vary significantly.
* **For Scattered Configuration Constants:**
* **Principle:** Separation of Concerns.
* **Practice:** Central Configuration Class (e.g. 'PricingConfig') or external configuration (e.g. properties files).
</t>
  </si>
  <si>
    <t xml:space="preserve">**4. Potential System Expansion and How Suggested Enhancements Help:**
* **Expansion Scenario:** Adding a new cost type, for example, 'DecorationCostService', with its own pricing rules (e.g., fixed fee + charge per table, or different decoration packages).
* **How Enhancements Help Make Implementation Easier:**
* **Injecting Dependencies into the 'EventCostCalculator':**
* If 'EventCostCalculator' were to receive a list from 'CostCalculationService' (where 'CostCalculationService' is an interface with a 'calculateCost(WeddingEvent event)' method) through its manufacturer, adding the new service would be simple:
1. Create the class 'DecorationCostService implements CostCalculationService'.
2. When creating the 'EventCostCalculator', the new 'DecorationCostService' would be added to the list of services provided to it.
* The 'EventCostCalculator' would simply repeat over the list of 'CostCalculationService', call the 'calculateCost()' in each one and sum the results. No internal modification would be needed (except perhaps adding the new cost to the 'EventCostSummary'). This demonstrates the Open/Closed Principle.
* **Central Configuration Class:** Pricing rules for décor could be centrally placed, making them easier to manage.
* **Strategy template (for pricing within 'DecorationCostService'):** If the decoration service offered multiple pricing packages (e.g. 'Basic Decoration', 'Premium Decoration'), the Strategy template could be used within 'DecorationCostService' to select the appropriate pricing algorithm for the selected package.
</t>
  </si>
  <si>
    <t>`-We have Shotgun Surgery, because if a change is made, e.g., to the payment method, we have to make the same change to many methods.
-The Employee class is a large class.
-There are code duplicates.</t>
  </si>
  <si>
    <t>-Methods per class (WMC) are increasing.
-Cross-class coupling is increased, as there is a close connection to the Employee class.
-The value of the degree of coherence of methods (LCOM) increases.
-Cyclomatic complexity increases.</t>
  </si>
  <si>
    <t>One design principle that can be used is the Single Responsibility Principle, which will help us assign each class a single function, making further processing easier.</t>
  </si>
  <si>
    <t>A possible extension of the system is the days of leave to which the employee is entitled. The SRP design principle will help us because for this addition it is enough to create a new class to implement this function, without changing anything else in the other classes.</t>
  </si>
  <si>
    <t>Large class. Long method due to calculateFoodCost(). Data Clumps, creation of vegan and non-vegan classes is preferable. Switch Statements, complexity due to continuous use of if/else.</t>
  </si>
  <si>
    <t>WMC, includes 2 relatively complex methods. NPM=3, all methods are public</t>
  </si>
  <si>
    <t>SRP and Strategy Pattern</t>
  </si>
  <si>
    <t>To add new types of meals (e.g. GlutenFree, Vegetarian, Keto, etc.) with different costs, and/or new discount rules based on other criteria (e.g. day, season, pre-order). With this structure, the calculateFoodCost() method can be easily modified or extended to apply new rules or manage new categories without changing the entire strategy hierarchy.</t>
  </si>
  <si>
    <t>The constructor has two parts, one for hours and one for note.
In variables you don't use this.</t>
  </si>
  <si>
    <t>WMC,NPM because it has many methods</t>
  </si>
  <si>
    <t>to add roles, to change salaries either increase or decrease and to be able to make changes to employees if they get, for example, a promotion</t>
  </si>
  <si>
    <t>Primitive Obsession:calculateFoodCost (use of int for vegans and non_vegans, and double for total)
Long Method: calculateFoodCost (method body)</t>
  </si>
  <si>
    <t>LCOM: Using primary formulas (int for vegans, double for total) instead of objects or enums (e.g., Meal class) reduces the consistency of the class, increasing LCOM. The methods handle disjointed operations (calculations and measurement), which LCOM measures as a lack of coherence.
Cyclomatic Complexity: The calculateFoodCost method combines measurement and calculations, increasing the Cyclomatic Complexity, which measures the number of independent paths in the code. 
WMC is also affected</t>
  </si>
  <si>
    <t>Open/Close Principale</t>
  </si>
  <si>
    <t>Choosing a Skills Center and Differences in Total Costs
Music Selection</t>
  </si>
  <si>
    <t>Large Class, Long method, Violation of Object-Orientation</t>
  </si>
  <si>
    <t>Open-Closed Principle</t>
  </si>
  <si>
    <t>Addition of a new type of employee e.g. intern by adding a new class that inherits the employee</t>
  </si>
  <si>
    <t>1. Lack of Encapsulation
Smell: venue and people are public by default (no access modifier).
Problem: Breaks encapsulation; external classes can modify people directly, risking data corruption.
Fix: Make them private and provide getter/setter methods.
2. List Not Initialized
Smell: people list is never initialized.
Problem: NullPointerException will be thrown when addPerson() is called.
Fix: List&lt;Person&gt; people = new ArrayList&lt;&gt;();
3. Inconsistent Method Naming
Smell: Method calcPhotosCost() uses inconsistent abbreviation ("calc" vs. "calculate").
Problem: Hurts readability and consistency.
Fix: Rename to calculatePhotosCost() or calculatePhotographyCost().
4. Magic Numbers
Smell: Hardcoded values like 3, 3.5, 2, 2.5, 1, 0.75, and thresholds 500, 600.
Problem: Difficult to update or understand intent.
Fix: Use named constants:
5. Violation of Single Responsibility Principle (SRP)
Smell: The Wedding class handles venue info, guest list, food cost logic, and photography pricing.
Problem: Becomes hard to maintain as responsibilities grow.
Fix: Consider separating into different classes:
6. No Constructor
Smell: You rely on setting venue and people externally.
Problem: Leads to potential uninitialized objects.
Fix: Provide a constructor:
public Wedding(String venue) {
this.venue = venue;
this.people = new ArrayList&lt;&gt;();
}</t>
  </si>
  <si>
    <t>Cohesion (LCOM – Lack of Cohesion of Methods)
Improved: Methods in the class now operate on the same well-defined data (venue, people), and their responsibilities are clearly aligned with the class purpose.
Coupling (CBO – Coupling Between Objects)
Maintained or Slightly Increased: No excessive dependencies on external classes were added. Use of the Person class is still necessary but controlled and minimal. Now class also depends on Service class, but its a useful abstraction in the long term
Cyclomatic Complexity
Reduced: Cleaner conditional logic and use of constants simplify flow and reduce branching, especially in calculateFoodCost() and calculatePhotographyCost().
Method Complexity (McCabe Complexity)
Reduced: Each method performs a single, well-defined task with fewer conditional branches.
Number of Public Methods (NPM)
Controlled: Added only necessary accessors and mutators. Removed inconsistent or unclear method names, keeping the API surface clean.
Depth of Inheritance Tree (DIT)
Increased: We have added a new interface Service and child classes that represent each separate service
Number of Children (NOC)
Increased: The service class has 2 children, when it didn't exist before
Data Access Metric (DAM)
Improved: All fields are now private, which increases encapsulation and improves DAM score.</t>
  </si>
  <si>
    <t>Encapsulation (Object-Oriented Principle)
Made fields private and accessed them through getters/setters.
Prevented direct modification of internal state (e.g., defensive copy of people list).
Open/Closed Principle (OCP - SOLID)
Used constants for pricing and thresholds — now the class is open to extension but closed to modification. You can change the costs in one place without altering logic.
DRY (Don't Repeat Yourself)
Avoided duplication of magic numbers by using named constants. Centralized the pricing logic.</t>
  </si>
  <si>
    <t>With the new system we can add new services by inheriting the base service class and adding them to wedding class. The class itself doesn't need modification and the responsibilities of calculating cost are delegated to the individual service objects, with the wedding class only calculating the total if needed.</t>
  </si>
  <si>
    <t>The Wedding class contains several "ugly" elements in the code: uninitialized variables, magic numbers, lack of encapsulation, repetitive logic, inconsistent naming, and syntactic errors. Refactoring is required to improve the security, clarity, and maintainability of the code.</t>
  </si>
  <si>
    <t>Affected Software Metrics
Maintainability Index (↓)
It decreases due to magic numbers, non-initialized variables, and repetitive logic.
Circuit Complexity (↑)
It is slightly increased by the repeated conditions, making flow control more difficult.
Codelines (↑ aimlessly)
The lack of subtraction increases the number of rows unnecessarily.
Consistency (↓)
The class deals with multiple responsibilities, showing low coherence.
Conjugation (probable ↑)
If the Person class is changed, Wedding is directly affected, due to close dependency.
Induction Quality (↓)
The absence of getters/setters and direct access to fields reduces data security.
Error Susceptibility (↑)
There is a high probability of errors due to uninitialized lists and syntax errors.</t>
  </si>
  <si>
    <t>Builder Pattern</t>
  </si>
  <si>
    <t>catering options</t>
  </si>
  <si>
    <t>επαναλαμβανομενοσ κωδικασ</t>
  </si>
  <si>
    <t>Coherence and coupling</t>
  </si>
  <si>
    <t>Add each employee's leaves</t>
  </si>
  <si>
    <t>Participant-ID</t>
  </si>
  <si>
    <t>Day</t>
  </si>
  <si>
    <t>Session</t>
  </si>
  <si>
    <t>Treatment</t>
  </si>
  <si>
    <t>Problem-ID</t>
  </si>
  <si>
    <t>Correctness_Problem_Identification</t>
  </si>
  <si>
    <t>Describe the metrics / quality attributes that are compromised</t>
  </si>
  <si>
    <t>Correctness_Metrics_Affected</t>
  </si>
  <si>
    <t>What DP or SP would you use to treat this problem?</t>
  </si>
  <si>
    <t>Correctness_Identified_Solution</t>
  </si>
  <si>
    <t>Correctness_Applied_Solution</t>
  </si>
  <si>
    <t>Correctness_Extension_Axes</t>
  </si>
  <si>
    <t>Refactoring Authorship</t>
  </si>
  <si>
    <t>Refactoring-ID</t>
  </si>
  <si>
    <t>Initial_Prompt_Length_Identification</t>
  </si>
  <si>
    <t>Total_Interaction_Length_Identification</t>
  </si>
  <si>
    <t>Number_of_turns/interactions_Identification</t>
  </si>
  <si>
    <t>Context_Window_Utilization_Identification</t>
  </si>
  <si>
    <t>Instruction_Complexity_Identification</t>
  </si>
  <si>
    <t>Correctness_Compromised QAs</t>
  </si>
  <si>
    <t>Initial_Prompt_Metrics_Affected</t>
  </si>
  <si>
    <t>Total_Interaction_Metrics_Affected</t>
  </si>
  <si>
    <t>Number_of_turns/interactions_Metrics_Affected</t>
  </si>
  <si>
    <t>Context_Window_Utilization_Metrics_Affected</t>
  </si>
  <si>
    <t>Instruction_Complexity_Metrics_Affected</t>
  </si>
  <si>
    <t>Correctness_Selected Practice</t>
  </si>
  <si>
    <t>Initial_Prompt_Identified_Solution</t>
  </si>
  <si>
    <t>Total_Interaction_Identified_Solution</t>
  </si>
  <si>
    <t>Number_of_turns/interactions_Identified_Solution</t>
  </si>
  <si>
    <t>Context_Window_Utilization_Identified_Solution</t>
  </si>
  <si>
    <t>Instruction_Complexity_Identified_Solution</t>
  </si>
  <si>
    <t>Correctness_Practice_Implementation</t>
  </si>
  <si>
    <t>Initial_Prompt_Applied_Solution</t>
  </si>
  <si>
    <t>Total_Interaction_Applied_Solution</t>
  </si>
  <si>
    <t>Number_of_turns/interactions_Applied_Solution</t>
  </si>
  <si>
    <t>Context_Window_Utilization_Applied_Solution</t>
  </si>
  <si>
    <t>Instruction_Complexity_Applied_Solution</t>
  </si>
  <si>
    <t>Correctness_Extension_Mechanism_Identification</t>
  </si>
  <si>
    <t>Initial_Prompt_Extension_Axes</t>
  </si>
  <si>
    <t>Total_Interaction_Extension_Axes</t>
  </si>
  <si>
    <t>Number_of_turns/interactions_Extension_Axes</t>
  </si>
  <si>
    <t>Context_Window_Utilization_Extension_Axes</t>
  </si>
  <si>
    <t>Instruction_Complexity_Extension_Axes</t>
  </si>
  <si>
    <t>Refactoring Type</t>
  </si>
  <si>
    <t>Concept</t>
  </si>
  <si>
    <t>Period</t>
  </si>
  <si>
    <t>Human-only</t>
  </si>
  <si>
    <t>DP</t>
  </si>
  <si>
    <t>DP_AF</t>
  </si>
  <si>
    <t>GenAI-assisted</t>
  </si>
  <si>
    <t>DP_BR</t>
  </si>
  <si>
    <t>DP_TEM</t>
  </si>
  <si>
    <t>SP_OCP1</t>
  </si>
  <si>
    <t>SP</t>
  </si>
  <si>
    <t>SP_OCP</t>
  </si>
  <si>
    <t>SP_OCP2</t>
  </si>
  <si>
    <t>SP_SRP1</t>
  </si>
  <si>
    <t>SP_SRP</t>
  </si>
  <si>
    <t>SP_SRP2</t>
  </si>
  <si>
    <t>Describe the bad smells that you identify / What problems is the code suffering from</t>
  </si>
  <si>
    <t xml:space="preserve">Note at least one extension scenario that shows that the treatment provides a more extensible solution, compared to the starting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</si>
</sst>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0" borderId="0" xfId="0" applyFont="1" applyAlignment="1">
      <alignment horizontal="center" wrapText="1"/>
    </xf>
    <xf numFmtId="0" fontId="1" fillId="2" borderId="0" xfId="0" applyFont="1" applyFill="1" applyAlignment="1">
      <alignment horizontal="center"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5083-7B32-4820-B7CB-A91DCE169E49}">
  <dimension ref="A1:N101"/>
  <sheetViews>
    <sheetView tabSelected="1" topLeftCell="F1" workbookViewId="0">
      <selection activeCell="M1" sqref="M1"/>
    </sheetView>
  </sheetViews>
  <sheetFormatPr defaultRowHeight="15" x14ac:dyDescent="0.25"/>
  <cols>
    <col min="1" max="1" width="13.28515625" bestFit="1" customWidth="1"/>
    <col min="4" max="4" width="10.28515625" bestFit="1" customWidth="1"/>
    <col min="5" max="5" width="11.140625" bestFit="1" customWidth="1"/>
    <col min="6" max="6" width="58.140625" customWidth="1"/>
    <col min="7" max="7" width="33.85546875" bestFit="1" customWidth="1"/>
    <col min="8" max="8" width="51" customWidth="1"/>
    <col min="9" max="9" width="28.28515625" bestFit="1" customWidth="1"/>
    <col min="10" max="10" width="42.42578125" customWidth="1"/>
    <col min="11" max="11" width="30.42578125" bestFit="1" customWidth="1"/>
    <col min="12" max="12" width="28.42578125" bestFit="1" customWidth="1"/>
    <col min="13" max="13" width="62.85546875" customWidth="1"/>
    <col min="14" max="14" width="27" bestFit="1" customWidth="1"/>
  </cols>
  <sheetData>
    <row r="1" spans="1:14" ht="36.75" customHeight="1" x14ac:dyDescent="0.25">
      <c r="A1" s="6" t="s">
        <v>395</v>
      </c>
      <c r="B1" s="6" t="s">
        <v>396</v>
      </c>
      <c r="C1" s="6" t="s">
        <v>397</v>
      </c>
      <c r="D1" s="6" t="s">
        <v>398</v>
      </c>
      <c r="E1" s="6" t="s">
        <v>399</v>
      </c>
      <c r="F1" s="5" t="s">
        <v>454</v>
      </c>
      <c r="G1" s="5" t="s">
        <v>400</v>
      </c>
      <c r="H1" s="4" t="s">
        <v>401</v>
      </c>
      <c r="I1" s="5" t="s">
        <v>402</v>
      </c>
      <c r="J1" s="4" t="s">
        <v>403</v>
      </c>
      <c r="K1" s="6" t="s">
        <v>404</v>
      </c>
      <c r="L1" s="5" t="s">
        <v>405</v>
      </c>
      <c r="M1" s="5" t="s">
        <v>455</v>
      </c>
      <c r="N1" s="5" t="s">
        <v>406</v>
      </c>
    </row>
    <row r="2" spans="1:14" x14ac:dyDescent="0.25">
      <c r="A2" s="1" t="s">
        <v>0</v>
      </c>
      <c r="B2" s="1">
        <v>1</v>
      </c>
      <c r="C2" s="1">
        <v>1</v>
      </c>
      <c r="D2" s="1" t="s">
        <v>1</v>
      </c>
      <c r="E2" s="1" t="s">
        <v>2</v>
      </c>
      <c r="F2" s="1" t="s">
        <v>3</v>
      </c>
      <c r="G2" s="1">
        <v>5</v>
      </c>
      <c r="H2" s="1" t="s">
        <v>4</v>
      </c>
      <c r="I2" s="1">
        <v>3</v>
      </c>
      <c r="J2" s="1" t="s">
        <v>5</v>
      </c>
      <c r="K2" s="1">
        <v>3</v>
      </c>
      <c r="L2" s="1">
        <v>7</v>
      </c>
      <c r="M2" s="1" t="s">
        <v>6</v>
      </c>
      <c r="N2" s="1">
        <v>5</v>
      </c>
    </row>
    <row r="3" spans="1:14" x14ac:dyDescent="0.25">
      <c r="A3" s="1" t="s">
        <v>7</v>
      </c>
      <c r="B3" s="1">
        <v>1</v>
      </c>
      <c r="C3" s="1">
        <v>1</v>
      </c>
      <c r="D3" s="1" t="s">
        <v>8</v>
      </c>
      <c r="E3" s="1" t="s">
        <v>9</v>
      </c>
      <c r="F3" s="1" t="s">
        <v>10</v>
      </c>
      <c r="G3" s="1">
        <v>0</v>
      </c>
      <c r="H3" s="1" t="s">
        <v>10</v>
      </c>
      <c r="I3" s="1">
        <v>0</v>
      </c>
      <c r="J3" s="1" t="s">
        <v>10</v>
      </c>
      <c r="K3" s="1">
        <v>0</v>
      </c>
      <c r="L3" s="1">
        <v>0</v>
      </c>
      <c r="M3" s="1" t="s">
        <v>10</v>
      </c>
      <c r="N3" s="1">
        <v>0</v>
      </c>
    </row>
    <row r="4" spans="1:14" x14ac:dyDescent="0.25">
      <c r="A4" s="1" t="s">
        <v>11</v>
      </c>
      <c r="B4" s="1">
        <v>1</v>
      </c>
      <c r="C4" s="1">
        <v>1</v>
      </c>
      <c r="D4" s="1" t="s">
        <v>1</v>
      </c>
      <c r="E4" s="1" t="s">
        <v>2</v>
      </c>
      <c r="F4" s="1" t="s">
        <v>12</v>
      </c>
      <c r="G4" s="1">
        <v>9</v>
      </c>
      <c r="H4" s="1" t="s">
        <v>13</v>
      </c>
      <c r="I4" s="1">
        <v>10</v>
      </c>
      <c r="J4" s="1" t="s">
        <v>14</v>
      </c>
      <c r="K4" s="1">
        <v>8</v>
      </c>
      <c r="L4" s="1">
        <v>10</v>
      </c>
      <c r="M4" s="1" t="s">
        <v>15</v>
      </c>
      <c r="N4" s="1">
        <v>9</v>
      </c>
    </row>
    <row r="5" spans="1:14" x14ac:dyDescent="0.25">
      <c r="A5" s="1" t="s">
        <v>16</v>
      </c>
      <c r="B5" s="1">
        <v>1</v>
      </c>
      <c r="C5" s="1">
        <v>1</v>
      </c>
      <c r="D5" s="1" t="s">
        <v>8</v>
      </c>
      <c r="E5" s="1" t="s">
        <v>9</v>
      </c>
      <c r="F5" s="1" t="s">
        <v>17</v>
      </c>
      <c r="G5" s="1">
        <v>7</v>
      </c>
      <c r="H5" s="1" t="s">
        <v>18</v>
      </c>
      <c r="I5" s="1">
        <v>8</v>
      </c>
      <c r="J5" s="1" t="s">
        <v>19</v>
      </c>
      <c r="K5" s="1">
        <v>10</v>
      </c>
      <c r="L5" s="1">
        <v>0</v>
      </c>
      <c r="M5" s="1" t="s">
        <v>20</v>
      </c>
      <c r="N5" s="1">
        <v>0</v>
      </c>
    </row>
    <row r="6" spans="1:14" x14ac:dyDescent="0.25">
      <c r="A6" s="1" t="s">
        <v>21</v>
      </c>
      <c r="B6" s="1">
        <v>1</v>
      </c>
      <c r="C6" s="1">
        <v>1</v>
      </c>
      <c r="D6" s="1" t="s">
        <v>1</v>
      </c>
      <c r="E6" s="1" t="s">
        <v>2</v>
      </c>
      <c r="F6" s="1" t="s">
        <v>22</v>
      </c>
      <c r="G6" s="1">
        <v>3</v>
      </c>
      <c r="H6" s="1" t="s">
        <v>23</v>
      </c>
      <c r="I6" s="1">
        <v>8</v>
      </c>
      <c r="J6" s="1" t="s">
        <v>24</v>
      </c>
      <c r="K6" s="1">
        <v>10</v>
      </c>
      <c r="L6" s="1">
        <v>10</v>
      </c>
      <c r="M6" s="1" t="s">
        <v>25</v>
      </c>
      <c r="N6" s="1">
        <v>3</v>
      </c>
    </row>
    <row r="7" spans="1:14" x14ac:dyDescent="0.25">
      <c r="A7" s="1" t="s">
        <v>26</v>
      </c>
      <c r="B7" s="1">
        <v>1</v>
      </c>
      <c r="C7" s="1">
        <v>1</v>
      </c>
      <c r="D7" s="1" t="s">
        <v>8</v>
      </c>
      <c r="E7" s="1" t="s">
        <v>9</v>
      </c>
      <c r="F7" s="1" t="s">
        <v>27</v>
      </c>
      <c r="G7" s="1">
        <v>7</v>
      </c>
      <c r="H7" s="1" t="s">
        <v>28</v>
      </c>
      <c r="I7" s="1">
        <v>8</v>
      </c>
      <c r="J7" s="1" t="s">
        <v>29</v>
      </c>
      <c r="K7" s="1">
        <v>7</v>
      </c>
      <c r="L7" s="1">
        <v>0</v>
      </c>
      <c r="M7" s="1" t="s">
        <v>30</v>
      </c>
      <c r="N7" s="1">
        <v>8</v>
      </c>
    </row>
    <row r="8" spans="1:14" x14ac:dyDescent="0.25">
      <c r="A8" s="1" t="s">
        <v>31</v>
      </c>
      <c r="B8" s="1">
        <v>1</v>
      </c>
      <c r="C8" s="1">
        <v>1</v>
      </c>
      <c r="D8" s="1" t="s">
        <v>1</v>
      </c>
      <c r="E8" s="1" t="s">
        <v>2</v>
      </c>
      <c r="F8" s="1" t="s">
        <v>32</v>
      </c>
      <c r="G8" s="1">
        <v>5</v>
      </c>
      <c r="H8" s="1" t="s">
        <v>33</v>
      </c>
      <c r="I8" s="1">
        <v>3</v>
      </c>
      <c r="J8" s="1" t="s">
        <v>34</v>
      </c>
      <c r="K8" s="1">
        <v>10</v>
      </c>
      <c r="L8" s="1">
        <v>10</v>
      </c>
      <c r="M8" s="1" t="s">
        <v>35</v>
      </c>
      <c r="N8" s="1">
        <v>10</v>
      </c>
    </row>
    <row r="9" spans="1:14" x14ac:dyDescent="0.25">
      <c r="A9" s="1" t="s">
        <v>36</v>
      </c>
      <c r="B9" s="1">
        <v>1</v>
      </c>
      <c r="C9" s="1">
        <v>1</v>
      </c>
      <c r="D9" s="1" t="s">
        <v>8</v>
      </c>
      <c r="E9" s="1" t="s">
        <v>9</v>
      </c>
      <c r="F9" s="1" t="s">
        <v>37</v>
      </c>
      <c r="G9" s="1">
        <v>7</v>
      </c>
      <c r="H9" s="1" t="s">
        <v>38</v>
      </c>
      <c r="I9" s="1">
        <v>8</v>
      </c>
      <c r="J9" s="1" t="s">
        <v>39</v>
      </c>
      <c r="K9" s="1">
        <v>2</v>
      </c>
      <c r="L9" s="1">
        <v>2</v>
      </c>
      <c r="M9" s="1" t="s">
        <v>40</v>
      </c>
      <c r="N9" s="1">
        <v>0</v>
      </c>
    </row>
    <row r="10" spans="1:14" x14ac:dyDescent="0.25">
      <c r="A10" s="1" t="s">
        <v>41</v>
      </c>
      <c r="B10" s="1">
        <v>1</v>
      </c>
      <c r="C10" s="1">
        <v>1</v>
      </c>
      <c r="D10" s="1" t="s">
        <v>8</v>
      </c>
      <c r="E10" s="1" t="s">
        <v>9</v>
      </c>
      <c r="F10" s="1" t="s">
        <v>42</v>
      </c>
      <c r="G10" s="1">
        <v>3</v>
      </c>
      <c r="H10" s="1" t="s">
        <v>43</v>
      </c>
      <c r="I10" s="1">
        <v>0</v>
      </c>
      <c r="J10" s="1" t="s">
        <v>44</v>
      </c>
      <c r="K10" s="1">
        <v>10</v>
      </c>
      <c r="L10" s="1">
        <v>6</v>
      </c>
      <c r="M10" s="1" t="s">
        <v>45</v>
      </c>
      <c r="N10" s="1">
        <v>8</v>
      </c>
    </row>
    <row r="11" spans="1:14" x14ac:dyDescent="0.25">
      <c r="A11" s="1" t="s">
        <v>46</v>
      </c>
      <c r="B11" s="1">
        <v>1</v>
      </c>
      <c r="C11" s="1">
        <v>1</v>
      </c>
      <c r="D11" s="1" t="s">
        <v>1</v>
      </c>
      <c r="E11" s="1" t="s">
        <v>2</v>
      </c>
      <c r="F11" s="1" t="s">
        <v>47</v>
      </c>
      <c r="G11" s="1">
        <v>3</v>
      </c>
      <c r="H11" s="1" t="s">
        <v>48</v>
      </c>
      <c r="I11" s="1">
        <v>3</v>
      </c>
      <c r="J11" s="1" t="s">
        <v>49</v>
      </c>
      <c r="K11" s="1">
        <v>3</v>
      </c>
      <c r="L11" s="1">
        <v>10</v>
      </c>
      <c r="M11" s="1" t="s">
        <v>50</v>
      </c>
      <c r="N11" s="1">
        <v>3</v>
      </c>
    </row>
    <row r="12" spans="1:14" x14ac:dyDescent="0.25">
      <c r="A12" s="1" t="s">
        <v>0</v>
      </c>
      <c r="B12" s="1">
        <v>1</v>
      </c>
      <c r="C12" s="1">
        <v>2</v>
      </c>
      <c r="D12" s="1" t="s">
        <v>8</v>
      </c>
      <c r="E12" s="1" t="s">
        <v>9</v>
      </c>
      <c r="F12" s="1" t="s">
        <v>51</v>
      </c>
      <c r="G12" s="1">
        <v>8</v>
      </c>
      <c r="H12" s="1" t="s">
        <v>52</v>
      </c>
      <c r="I12" s="1">
        <v>7</v>
      </c>
      <c r="J12" s="1" t="s">
        <v>53</v>
      </c>
      <c r="K12" s="1">
        <v>6</v>
      </c>
      <c r="L12" s="1">
        <v>5</v>
      </c>
      <c r="M12" s="1" t="s">
        <v>54</v>
      </c>
      <c r="N12" s="1">
        <v>10</v>
      </c>
    </row>
    <row r="13" spans="1:14" x14ac:dyDescent="0.25">
      <c r="A13" s="1" t="s">
        <v>7</v>
      </c>
      <c r="B13" s="1">
        <v>1</v>
      </c>
      <c r="C13" s="1">
        <v>2</v>
      </c>
      <c r="D13" s="1" t="s">
        <v>1</v>
      </c>
      <c r="E13" s="1" t="s">
        <v>2</v>
      </c>
      <c r="F13" s="1" t="s">
        <v>55</v>
      </c>
      <c r="G13" s="1">
        <v>8</v>
      </c>
      <c r="H13" s="1" t="s">
        <v>56</v>
      </c>
      <c r="I13" s="1">
        <v>8</v>
      </c>
      <c r="J13" s="1" t="s">
        <v>57</v>
      </c>
      <c r="K13" s="1">
        <v>7</v>
      </c>
      <c r="L13" s="1">
        <v>8</v>
      </c>
      <c r="M13" s="1" t="s">
        <v>58</v>
      </c>
      <c r="N13" s="1">
        <v>10</v>
      </c>
    </row>
    <row r="14" spans="1:14" x14ac:dyDescent="0.25">
      <c r="A14" s="1" t="s">
        <v>11</v>
      </c>
      <c r="B14" s="1">
        <v>1</v>
      </c>
      <c r="C14" s="1">
        <v>2</v>
      </c>
      <c r="D14" s="1" t="s">
        <v>8</v>
      </c>
      <c r="E14" s="1" t="s">
        <v>9</v>
      </c>
      <c r="F14" s="1" t="s">
        <v>59</v>
      </c>
      <c r="G14" s="1">
        <v>8</v>
      </c>
      <c r="H14" s="1" t="s">
        <v>60</v>
      </c>
      <c r="I14" s="1">
        <v>10</v>
      </c>
      <c r="J14" s="1" t="s">
        <v>61</v>
      </c>
      <c r="K14" s="1">
        <v>8</v>
      </c>
      <c r="L14" s="1">
        <v>0</v>
      </c>
      <c r="M14" s="1" t="s">
        <v>62</v>
      </c>
      <c r="N14" s="1">
        <v>10</v>
      </c>
    </row>
    <row r="15" spans="1:14" x14ac:dyDescent="0.25">
      <c r="A15" s="1" t="s">
        <v>16</v>
      </c>
      <c r="B15" s="1">
        <v>1</v>
      </c>
      <c r="C15" s="1">
        <v>2</v>
      </c>
      <c r="D15" s="1" t="s">
        <v>1</v>
      </c>
      <c r="E15" s="1" t="s">
        <v>2</v>
      </c>
      <c r="F15" s="1" t="s">
        <v>63</v>
      </c>
      <c r="G15" s="1">
        <v>3</v>
      </c>
      <c r="H15" s="1" t="s">
        <v>64</v>
      </c>
      <c r="I15" s="1">
        <v>4</v>
      </c>
      <c r="J15" s="1" t="s">
        <v>65</v>
      </c>
      <c r="K15" s="1">
        <v>0</v>
      </c>
      <c r="L15" s="1">
        <v>8</v>
      </c>
      <c r="M15" s="1" t="s">
        <v>66</v>
      </c>
      <c r="N15" s="1">
        <v>8</v>
      </c>
    </row>
    <row r="16" spans="1:14" x14ac:dyDescent="0.25">
      <c r="A16" s="1" t="s">
        <v>21</v>
      </c>
      <c r="B16" s="1">
        <v>1</v>
      </c>
      <c r="C16" s="1">
        <v>2</v>
      </c>
      <c r="D16" s="1" t="s">
        <v>8</v>
      </c>
      <c r="E16" s="1" t="s">
        <v>9</v>
      </c>
      <c r="F16" s="1" t="s">
        <v>67</v>
      </c>
      <c r="G16" s="1">
        <v>7</v>
      </c>
      <c r="H16" s="1" t="s">
        <v>68</v>
      </c>
      <c r="I16" s="1">
        <v>7</v>
      </c>
      <c r="J16" s="1" t="s">
        <v>69</v>
      </c>
      <c r="K16" s="1">
        <v>10</v>
      </c>
      <c r="L16" s="1">
        <v>10</v>
      </c>
      <c r="M16" s="1" t="s">
        <v>70</v>
      </c>
      <c r="N16" s="1">
        <v>10</v>
      </c>
    </row>
    <row r="17" spans="1:14" x14ac:dyDescent="0.25">
      <c r="A17" s="1" t="s">
        <v>26</v>
      </c>
      <c r="B17" s="1">
        <v>1</v>
      </c>
      <c r="C17" s="1">
        <v>2</v>
      </c>
      <c r="D17" s="1" t="s">
        <v>1</v>
      </c>
      <c r="E17" s="1" t="s">
        <v>2</v>
      </c>
      <c r="F17" s="1" t="s">
        <v>71</v>
      </c>
      <c r="G17" s="1">
        <v>5</v>
      </c>
      <c r="H17" s="1" t="s">
        <v>72</v>
      </c>
      <c r="I17" s="1">
        <v>5</v>
      </c>
      <c r="J17" s="1" t="s">
        <v>73</v>
      </c>
      <c r="K17" s="1">
        <v>2</v>
      </c>
      <c r="L17" s="1">
        <v>6</v>
      </c>
      <c r="M17" s="1" t="s">
        <v>74</v>
      </c>
      <c r="N17" s="1">
        <v>8</v>
      </c>
    </row>
    <row r="18" spans="1:14" x14ac:dyDescent="0.25">
      <c r="A18" s="1" t="s">
        <v>31</v>
      </c>
      <c r="B18" s="1">
        <v>1</v>
      </c>
      <c r="C18" s="1">
        <v>2</v>
      </c>
      <c r="D18" s="1" t="s">
        <v>8</v>
      </c>
      <c r="E18" s="1" t="s">
        <v>9</v>
      </c>
      <c r="F18" s="1" t="s">
        <v>75</v>
      </c>
      <c r="G18" s="1">
        <v>0</v>
      </c>
      <c r="H18" s="1" t="s">
        <v>76</v>
      </c>
      <c r="I18" s="1">
        <v>2</v>
      </c>
      <c r="J18" s="1" t="s">
        <v>77</v>
      </c>
      <c r="K18" s="1">
        <v>10</v>
      </c>
      <c r="L18" s="1">
        <v>10</v>
      </c>
      <c r="M18" s="1" t="s">
        <v>75</v>
      </c>
      <c r="N18" s="1">
        <v>0</v>
      </c>
    </row>
    <row r="19" spans="1:14" x14ac:dyDescent="0.25">
      <c r="A19" s="1" t="s">
        <v>36</v>
      </c>
      <c r="B19" s="1">
        <v>1</v>
      </c>
      <c r="C19" s="1">
        <v>2</v>
      </c>
      <c r="D19" s="1" t="s">
        <v>1</v>
      </c>
      <c r="E19" s="1" t="s">
        <v>2</v>
      </c>
      <c r="F19" s="1" t="s">
        <v>78</v>
      </c>
      <c r="G19" s="1">
        <v>5</v>
      </c>
      <c r="H19" s="1" t="s">
        <v>79</v>
      </c>
      <c r="I19" s="1">
        <v>3</v>
      </c>
      <c r="J19" s="1"/>
      <c r="K19" s="1">
        <v>3</v>
      </c>
      <c r="L19" s="1">
        <v>5</v>
      </c>
      <c r="M19" s="1" t="s">
        <v>80</v>
      </c>
      <c r="N19" s="1">
        <v>5</v>
      </c>
    </row>
    <row r="20" spans="1:14" x14ac:dyDescent="0.25">
      <c r="A20" s="1" t="s">
        <v>41</v>
      </c>
      <c r="B20" s="1">
        <v>1</v>
      </c>
      <c r="C20" s="1">
        <v>2</v>
      </c>
      <c r="D20" s="1" t="s">
        <v>1</v>
      </c>
      <c r="E20" s="1" t="s">
        <v>2</v>
      </c>
      <c r="F20" s="1" t="s">
        <v>81</v>
      </c>
      <c r="G20" s="1">
        <v>8</v>
      </c>
      <c r="H20" s="1" t="s">
        <v>82</v>
      </c>
      <c r="I20" s="1">
        <v>3</v>
      </c>
      <c r="J20" s="1" t="s">
        <v>83</v>
      </c>
      <c r="K20" s="1">
        <v>10</v>
      </c>
      <c r="L20" s="1">
        <v>10</v>
      </c>
      <c r="M20" s="1" t="s">
        <v>84</v>
      </c>
      <c r="N20" s="1">
        <v>5</v>
      </c>
    </row>
    <row r="21" spans="1:14" x14ac:dyDescent="0.25">
      <c r="A21" s="1" t="s">
        <v>46</v>
      </c>
      <c r="B21" s="1">
        <v>1</v>
      </c>
      <c r="C21" s="1">
        <v>2</v>
      </c>
      <c r="D21" s="1" t="s">
        <v>8</v>
      </c>
      <c r="E21" s="1" t="s">
        <v>9</v>
      </c>
      <c r="F21" s="1" t="s">
        <v>85</v>
      </c>
      <c r="G21" s="1">
        <v>7</v>
      </c>
      <c r="H21" s="1" t="s">
        <v>86</v>
      </c>
      <c r="I21" s="1">
        <v>5</v>
      </c>
      <c r="J21" s="1" t="s">
        <v>87</v>
      </c>
      <c r="K21" s="1">
        <v>5</v>
      </c>
      <c r="L21" s="1">
        <v>7</v>
      </c>
      <c r="M21" s="1" t="s">
        <v>88</v>
      </c>
      <c r="N21" s="1">
        <v>8</v>
      </c>
    </row>
    <row r="22" spans="1:14" x14ac:dyDescent="0.25">
      <c r="A22" s="1" t="s">
        <v>0</v>
      </c>
      <c r="B22" s="1">
        <v>2</v>
      </c>
      <c r="C22" s="1">
        <v>3</v>
      </c>
      <c r="D22" s="1" t="s">
        <v>8</v>
      </c>
      <c r="E22" s="1" t="s">
        <v>89</v>
      </c>
      <c r="F22" s="1" t="s">
        <v>90</v>
      </c>
      <c r="G22" s="1">
        <v>8</v>
      </c>
      <c r="H22" s="1" t="s">
        <v>91</v>
      </c>
      <c r="I22" s="1">
        <v>10</v>
      </c>
      <c r="J22" s="1" t="s">
        <v>92</v>
      </c>
      <c r="K22" s="1">
        <v>3</v>
      </c>
      <c r="L22" s="1">
        <v>10</v>
      </c>
      <c r="M22" s="1" t="s">
        <v>93</v>
      </c>
      <c r="N22" s="1">
        <v>10</v>
      </c>
    </row>
    <row r="23" spans="1:14" x14ac:dyDescent="0.25">
      <c r="A23" s="1" t="s">
        <v>7</v>
      </c>
      <c r="B23" s="1">
        <v>2</v>
      </c>
      <c r="C23" s="1">
        <v>3</v>
      </c>
      <c r="D23" s="1" t="s">
        <v>1</v>
      </c>
      <c r="E23" s="1" t="s">
        <v>94</v>
      </c>
      <c r="F23" s="1" t="s">
        <v>95</v>
      </c>
      <c r="G23" s="1">
        <v>5</v>
      </c>
      <c r="H23" s="1" t="s">
        <v>96</v>
      </c>
      <c r="I23" s="1">
        <v>8</v>
      </c>
      <c r="J23" s="1" t="s">
        <v>97</v>
      </c>
      <c r="K23" s="1">
        <v>8</v>
      </c>
      <c r="L23" s="1">
        <v>10</v>
      </c>
      <c r="M23" s="1" t="s">
        <v>98</v>
      </c>
      <c r="N23" s="1">
        <v>10</v>
      </c>
    </row>
    <row r="24" spans="1:14" x14ac:dyDescent="0.25">
      <c r="A24" s="1" t="s">
        <v>11</v>
      </c>
      <c r="B24" s="1">
        <v>2</v>
      </c>
      <c r="C24" s="1">
        <v>3</v>
      </c>
      <c r="D24" s="1" t="s">
        <v>8</v>
      </c>
      <c r="E24" s="1" t="s">
        <v>89</v>
      </c>
      <c r="F24" s="1" t="s">
        <v>99</v>
      </c>
      <c r="G24" s="1">
        <v>10</v>
      </c>
      <c r="H24" s="1" t="s">
        <v>100</v>
      </c>
      <c r="I24" s="1">
        <v>10</v>
      </c>
      <c r="J24" s="1" t="s">
        <v>101</v>
      </c>
      <c r="K24" s="1">
        <v>8</v>
      </c>
      <c r="L24" s="1">
        <v>10</v>
      </c>
      <c r="M24" s="1" t="s">
        <v>102</v>
      </c>
      <c r="N24" s="1">
        <v>10</v>
      </c>
    </row>
    <row r="25" spans="1:14" x14ac:dyDescent="0.25">
      <c r="A25" s="1" t="s">
        <v>16</v>
      </c>
      <c r="B25" s="1">
        <v>2</v>
      </c>
      <c r="C25" s="1">
        <v>3</v>
      </c>
      <c r="D25" s="1" t="s">
        <v>1</v>
      </c>
      <c r="E25" s="1" t="s">
        <v>94</v>
      </c>
      <c r="F25" s="1" t="s">
        <v>103</v>
      </c>
      <c r="G25" s="1">
        <v>5</v>
      </c>
      <c r="H25" s="1" t="s">
        <v>104</v>
      </c>
      <c r="I25" s="1">
        <v>7</v>
      </c>
      <c r="J25" s="1" t="s">
        <v>105</v>
      </c>
      <c r="K25" s="1">
        <v>7</v>
      </c>
      <c r="L25" s="1">
        <v>10</v>
      </c>
      <c r="M25" s="1" t="s">
        <v>106</v>
      </c>
      <c r="N25" s="1">
        <v>10</v>
      </c>
    </row>
    <row r="26" spans="1:14" x14ac:dyDescent="0.25">
      <c r="A26" s="1" t="s">
        <v>21</v>
      </c>
      <c r="B26" s="1">
        <v>2</v>
      </c>
      <c r="C26" s="1">
        <v>3</v>
      </c>
      <c r="D26" s="1" t="s">
        <v>8</v>
      </c>
      <c r="E26" s="1" t="s">
        <v>89</v>
      </c>
      <c r="F26" s="1" t="s">
        <v>107</v>
      </c>
      <c r="G26" s="1">
        <v>8</v>
      </c>
      <c r="H26" s="1" t="s">
        <v>108</v>
      </c>
      <c r="I26" s="1">
        <v>10</v>
      </c>
      <c r="J26" s="1" t="s">
        <v>109</v>
      </c>
      <c r="K26" s="1">
        <v>5</v>
      </c>
      <c r="L26" s="1">
        <v>0</v>
      </c>
      <c r="M26" s="1" t="s">
        <v>110</v>
      </c>
      <c r="N26" s="1">
        <v>10</v>
      </c>
    </row>
    <row r="27" spans="1:14" x14ac:dyDescent="0.25">
      <c r="A27" s="1" t="s">
        <v>26</v>
      </c>
      <c r="B27" s="1">
        <v>2</v>
      </c>
      <c r="C27" s="1">
        <v>3</v>
      </c>
      <c r="D27" s="1" t="s">
        <v>1</v>
      </c>
      <c r="E27" s="1" t="s">
        <v>94</v>
      </c>
      <c r="F27" s="1" t="s">
        <v>111</v>
      </c>
      <c r="G27" s="1">
        <v>6</v>
      </c>
      <c r="H27" s="1" t="s">
        <v>112</v>
      </c>
      <c r="I27" s="1">
        <v>6</v>
      </c>
      <c r="J27" s="1" t="s">
        <v>113</v>
      </c>
      <c r="K27" s="1">
        <v>8</v>
      </c>
      <c r="L27" s="1">
        <v>10</v>
      </c>
      <c r="M27" s="1" t="s">
        <v>114</v>
      </c>
      <c r="N27" s="1">
        <v>10</v>
      </c>
    </row>
    <row r="28" spans="1:14" x14ac:dyDescent="0.25">
      <c r="A28" s="1" t="s">
        <v>31</v>
      </c>
      <c r="B28" s="1">
        <v>2</v>
      </c>
      <c r="C28" s="1">
        <v>3</v>
      </c>
      <c r="D28" s="1" t="s">
        <v>8</v>
      </c>
      <c r="E28" s="1" t="s">
        <v>89</v>
      </c>
      <c r="F28" s="1" t="s">
        <v>115</v>
      </c>
      <c r="G28" s="1">
        <v>10</v>
      </c>
      <c r="H28" s="1" t="s">
        <v>116</v>
      </c>
      <c r="I28" s="1">
        <v>0</v>
      </c>
      <c r="J28" s="1" t="s">
        <v>69</v>
      </c>
      <c r="K28" s="1">
        <v>0</v>
      </c>
      <c r="L28" s="1">
        <v>8</v>
      </c>
      <c r="M28" s="1" t="s">
        <v>117</v>
      </c>
      <c r="N28" s="1">
        <v>10</v>
      </c>
    </row>
    <row r="29" spans="1:14" x14ac:dyDescent="0.25">
      <c r="A29" s="1" t="s">
        <v>36</v>
      </c>
      <c r="B29" s="1">
        <v>2</v>
      </c>
      <c r="C29" s="1">
        <v>3</v>
      </c>
      <c r="D29" s="1" t="s">
        <v>1</v>
      </c>
      <c r="E29" s="1" t="s">
        <v>94</v>
      </c>
      <c r="F29" s="1" t="s">
        <v>118</v>
      </c>
      <c r="G29" s="1">
        <v>5</v>
      </c>
      <c r="H29" s="1" t="s">
        <v>119</v>
      </c>
      <c r="I29" s="1">
        <v>3</v>
      </c>
      <c r="J29" s="1" t="s">
        <v>120</v>
      </c>
      <c r="K29" s="1">
        <v>2</v>
      </c>
      <c r="L29" s="1">
        <v>2</v>
      </c>
      <c r="M29" s="1" t="s">
        <v>121</v>
      </c>
      <c r="N29" s="1">
        <v>0</v>
      </c>
    </row>
    <row r="30" spans="1:14" x14ac:dyDescent="0.25">
      <c r="A30" s="1" t="s">
        <v>41</v>
      </c>
      <c r="B30" s="1">
        <v>2</v>
      </c>
      <c r="C30" s="1">
        <v>3</v>
      </c>
      <c r="D30" s="1" t="s">
        <v>1</v>
      </c>
      <c r="E30" s="1" t="s">
        <v>94</v>
      </c>
      <c r="F30" s="1" t="s">
        <v>122</v>
      </c>
      <c r="G30" s="1">
        <v>5</v>
      </c>
      <c r="H30" s="1" t="s">
        <v>123</v>
      </c>
      <c r="I30" s="1">
        <v>7</v>
      </c>
      <c r="J30" s="1" t="s">
        <v>124</v>
      </c>
      <c r="K30" s="1">
        <v>8</v>
      </c>
      <c r="L30" s="1">
        <v>10</v>
      </c>
      <c r="M30" s="1" t="s">
        <v>125</v>
      </c>
      <c r="N30" s="1">
        <v>2</v>
      </c>
    </row>
    <row r="31" spans="1:14" x14ac:dyDescent="0.25">
      <c r="A31" s="1" t="s">
        <v>46</v>
      </c>
      <c r="B31" s="1">
        <v>2</v>
      </c>
      <c r="C31" s="1">
        <v>3</v>
      </c>
      <c r="D31" s="1" t="s">
        <v>8</v>
      </c>
      <c r="E31" s="1" t="s">
        <v>89</v>
      </c>
      <c r="F31" s="1" t="s">
        <v>126</v>
      </c>
      <c r="G31" s="1">
        <v>10</v>
      </c>
      <c r="H31" s="1" t="s">
        <v>127</v>
      </c>
      <c r="I31" s="1">
        <v>10</v>
      </c>
      <c r="J31" s="1" t="s">
        <v>128</v>
      </c>
      <c r="K31" s="1">
        <v>8</v>
      </c>
      <c r="L31" s="1">
        <v>10</v>
      </c>
      <c r="M31" s="1" t="s">
        <v>129</v>
      </c>
      <c r="N31" s="1">
        <v>10</v>
      </c>
    </row>
    <row r="32" spans="1:14" x14ac:dyDescent="0.25">
      <c r="A32" s="1" t="s">
        <v>0</v>
      </c>
      <c r="B32" s="1">
        <v>2</v>
      </c>
      <c r="C32" s="1">
        <v>4</v>
      </c>
      <c r="D32" s="1" t="s">
        <v>1</v>
      </c>
      <c r="E32" s="1" t="s">
        <v>94</v>
      </c>
      <c r="F32" s="1" t="s">
        <v>130</v>
      </c>
      <c r="G32" s="1">
        <v>0</v>
      </c>
      <c r="H32" s="1" t="s">
        <v>131</v>
      </c>
      <c r="I32" s="1">
        <v>0</v>
      </c>
      <c r="J32" s="1" t="s">
        <v>132</v>
      </c>
      <c r="K32" s="1">
        <v>0</v>
      </c>
      <c r="L32" s="1">
        <v>0</v>
      </c>
      <c r="M32" s="1" t="s">
        <v>133</v>
      </c>
      <c r="N32" s="1">
        <v>0</v>
      </c>
    </row>
    <row r="33" spans="1:14" x14ac:dyDescent="0.25">
      <c r="A33" s="1" t="s">
        <v>7</v>
      </c>
      <c r="B33" s="1">
        <v>2</v>
      </c>
      <c r="C33" s="1">
        <v>4</v>
      </c>
      <c r="D33" s="1" t="s">
        <v>8</v>
      </c>
      <c r="E33" s="1" t="s">
        <v>89</v>
      </c>
      <c r="F33" s="1" t="s">
        <v>134</v>
      </c>
      <c r="G33" s="1">
        <v>0</v>
      </c>
      <c r="H33" s="1" t="s">
        <v>134</v>
      </c>
      <c r="I33" s="1">
        <v>0</v>
      </c>
      <c r="J33" s="1" t="s">
        <v>134</v>
      </c>
      <c r="K33" s="1">
        <v>0</v>
      </c>
      <c r="L33" s="1">
        <v>0</v>
      </c>
      <c r="M33" s="1" t="s">
        <v>134</v>
      </c>
      <c r="N33" s="1">
        <v>0</v>
      </c>
    </row>
    <row r="34" spans="1:14" x14ac:dyDescent="0.25">
      <c r="A34" s="1" t="s">
        <v>11</v>
      </c>
      <c r="B34" s="1">
        <v>2</v>
      </c>
      <c r="C34" s="1">
        <v>4</v>
      </c>
      <c r="D34" s="1" t="s">
        <v>1</v>
      </c>
      <c r="E34" s="1" t="s">
        <v>94</v>
      </c>
      <c r="F34" s="1" t="s">
        <v>135</v>
      </c>
      <c r="G34" s="1">
        <v>5</v>
      </c>
      <c r="H34" s="1" t="s">
        <v>136</v>
      </c>
      <c r="I34" s="1">
        <v>3</v>
      </c>
      <c r="J34" s="1" t="s">
        <v>137</v>
      </c>
      <c r="K34" s="1">
        <v>8</v>
      </c>
      <c r="L34" s="1">
        <v>8</v>
      </c>
      <c r="M34" s="1" t="s">
        <v>138</v>
      </c>
      <c r="N34" s="1">
        <v>10</v>
      </c>
    </row>
    <row r="35" spans="1:14" x14ac:dyDescent="0.25">
      <c r="A35" s="1" t="s">
        <v>16</v>
      </c>
      <c r="B35" s="1">
        <v>2</v>
      </c>
      <c r="C35" s="1">
        <v>4</v>
      </c>
      <c r="D35" s="1" t="s">
        <v>8</v>
      </c>
      <c r="E35" s="1" t="s">
        <v>89</v>
      </c>
      <c r="F35" s="1" t="s">
        <v>139</v>
      </c>
      <c r="G35" s="1">
        <v>5</v>
      </c>
      <c r="H35" s="1" t="s">
        <v>140</v>
      </c>
      <c r="I35" s="1">
        <v>8</v>
      </c>
      <c r="J35" s="1" t="s">
        <v>141</v>
      </c>
      <c r="K35" s="1">
        <v>0</v>
      </c>
      <c r="L35" s="1">
        <v>8</v>
      </c>
      <c r="M35" s="1" t="s">
        <v>142</v>
      </c>
      <c r="N35" s="1">
        <v>10</v>
      </c>
    </row>
    <row r="36" spans="1:14" x14ac:dyDescent="0.25">
      <c r="A36" s="1" t="s">
        <v>21</v>
      </c>
      <c r="B36" s="1">
        <v>2</v>
      </c>
      <c r="C36" s="1">
        <v>4</v>
      </c>
      <c r="D36" s="1" t="s">
        <v>1</v>
      </c>
      <c r="E36" s="1" t="s">
        <v>94</v>
      </c>
      <c r="F36" s="1" t="s">
        <v>143</v>
      </c>
      <c r="G36" s="1">
        <v>0</v>
      </c>
      <c r="H36" s="1" t="s">
        <v>144</v>
      </c>
      <c r="I36" s="1">
        <v>7</v>
      </c>
      <c r="J36" s="1" t="s">
        <v>145</v>
      </c>
      <c r="K36" s="1">
        <v>5</v>
      </c>
      <c r="L36" s="1">
        <v>8</v>
      </c>
      <c r="M36" s="1" t="s">
        <v>146</v>
      </c>
      <c r="N36" s="1">
        <v>10</v>
      </c>
    </row>
    <row r="37" spans="1:14" x14ac:dyDescent="0.25">
      <c r="A37" s="1" t="s">
        <v>26</v>
      </c>
      <c r="B37" s="1">
        <v>2</v>
      </c>
      <c r="C37" s="1">
        <v>4</v>
      </c>
      <c r="D37" s="1" t="s">
        <v>8</v>
      </c>
      <c r="E37" s="1" t="s">
        <v>89</v>
      </c>
      <c r="F37" s="1" t="s">
        <v>147</v>
      </c>
      <c r="G37" s="1">
        <v>10</v>
      </c>
      <c r="H37" s="1" t="s">
        <v>148</v>
      </c>
      <c r="I37" s="1">
        <v>10</v>
      </c>
      <c r="J37" s="1" t="s">
        <v>149</v>
      </c>
      <c r="K37" s="1">
        <v>8</v>
      </c>
      <c r="L37" s="1">
        <v>10</v>
      </c>
      <c r="M37" s="1" t="s">
        <v>150</v>
      </c>
      <c r="N37" s="1">
        <v>10</v>
      </c>
    </row>
    <row r="38" spans="1:14" x14ac:dyDescent="0.25">
      <c r="A38" s="1" t="s">
        <v>31</v>
      </c>
      <c r="B38" s="1">
        <v>2</v>
      </c>
      <c r="C38" s="1">
        <v>4</v>
      </c>
      <c r="D38" s="1" t="s">
        <v>1</v>
      </c>
      <c r="E38" s="1" t="s">
        <v>94</v>
      </c>
      <c r="F38" s="1" t="s">
        <v>151</v>
      </c>
      <c r="G38" s="1">
        <v>5</v>
      </c>
      <c r="H38" s="1" t="s">
        <v>152</v>
      </c>
      <c r="I38" s="1">
        <v>2</v>
      </c>
      <c r="J38" s="1" t="s">
        <v>153</v>
      </c>
      <c r="K38" s="1">
        <v>8</v>
      </c>
      <c r="L38" s="1">
        <v>10</v>
      </c>
      <c r="M38" s="1" t="s">
        <v>154</v>
      </c>
      <c r="N38" s="1">
        <v>10</v>
      </c>
    </row>
    <row r="39" spans="1:14" x14ac:dyDescent="0.25">
      <c r="A39" s="1" t="s">
        <v>36</v>
      </c>
      <c r="B39" s="1">
        <v>2</v>
      </c>
      <c r="C39" s="1">
        <v>4</v>
      </c>
      <c r="D39" s="1" t="s">
        <v>8</v>
      </c>
      <c r="E39" s="1" t="s">
        <v>89</v>
      </c>
      <c r="F39" s="1" t="s">
        <v>155</v>
      </c>
      <c r="G39" s="1">
        <v>0</v>
      </c>
      <c r="H39" s="1" t="s">
        <v>156</v>
      </c>
      <c r="I39" s="1">
        <v>7</v>
      </c>
      <c r="J39" s="1" t="s">
        <v>157</v>
      </c>
      <c r="K39" s="1">
        <v>8</v>
      </c>
      <c r="L39" s="1">
        <v>8</v>
      </c>
      <c r="M39" s="1" t="s">
        <v>158</v>
      </c>
      <c r="N39" s="1">
        <v>10</v>
      </c>
    </row>
    <row r="40" spans="1:14" x14ac:dyDescent="0.25">
      <c r="A40" s="1" t="s">
        <v>41</v>
      </c>
      <c r="B40" s="1">
        <v>2</v>
      </c>
      <c r="C40" s="1">
        <v>4</v>
      </c>
      <c r="D40" s="1" t="s">
        <v>8</v>
      </c>
      <c r="E40" s="1" t="s">
        <v>89</v>
      </c>
      <c r="F40" s="1" t="s">
        <v>159</v>
      </c>
      <c r="G40" s="1">
        <v>3</v>
      </c>
      <c r="H40" s="1" t="s">
        <v>160</v>
      </c>
      <c r="I40" s="1">
        <v>3</v>
      </c>
      <c r="J40" s="1" t="s">
        <v>161</v>
      </c>
      <c r="K40" s="1">
        <v>8</v>
      </c>
      <c r="L40" s="1">
        <v>10</v>
      </c>
      <c r="M40" s="1" t="s">
        <v>162</v>
      </c>
      <c r="N40" s="1">
        <v>10</v>
      </c>
    </row>
    <row r="41" spans="1:14" x14ac:dyDescent="0.25">
      <c r="A41" s="1" t="s">
        <v>46</v>
      </c>
      <c r="B41" s="1">
        <v>2</v>
      </c>
      <c r="C41" s="1">
        <v>4</v>
      </c>
      <c r="D41" s="1" t="s">
        <v>1</v>
      </c>
      <c r="E41" s="1" t="s">
        <v>94</v>
      </c>
      <c r="F41" s="1" t="s">
        <v>163</v>
      </c>
      <c r="G41" s="1">
        <v>8</v>
      </c>
      <c r="H41" s="1" t="s">
        <v>164</v>
      </c>
      <c r="I41" s="1">
        <v>7</v>
      </c>
      <c r="J41" s="1" t="s">
        <v>165</v>
      </c>
      <c r="K41" s="1">
        <v>3</v>
      </c>
      <c r="L41" s="1">
        <v>7</v>
      </c>
      <c r="M41" s="1" t="s">
        <v>166</v>
      </c>
      <c r="N41" s="1">
        <v>0</v>
      </c>
    </row>
    <row r="42" spans="1:14" x14ac:dyDescent="0.25">
      <c r="A42" s="1" t="s">
        <v>0</v>
      </c>
      <c r="B42" s="1">
        <v>3</v>
      </c>
      <c r="C42" s="1">
        <v>5</v>
      </c>
      <c r="D42" s="1" t="s">
        <v>1</v>
      </c>
      <c r="E42" s="1" t="s">
        <v>167</v>
      </c>
      <c r="F42" s="1" t="s">
        <v>168</v>
      </c>
      <c r="G42" s="1">
        <v>5</v>
      </c>
      <c r="H42" s="1" t="s">
        <v>169</v>
      </c>
      <c r="I42" s="1">
        <v>7</v>
      </c>
      <c r="J42" s="1" t="s">
        <v>170</v>
      </c>
      <c r="K42" s="1">
        <v>4</v>
      </c>
      <c r="L42" s="1">
        <v>3</v>
      </c>
      <c r="M42" s="1" t="s">
        <v>171</v>
      </c>
      <c r="N42" s="1">
        <v>10</v>
      </c>
    </row>
    <row r="43" spans="1:14" x14ac:dyDescent="0.25">
      <c r="A43" s="1" t="s">
        <v>7</v>
      </c>
      <c r="B43" s="1">
        <v>3</v>
      </c>
      <c r="C43" s="1">
        <v>5</v>
      </c>
      <c r="D43" s="1" t="s">
        <v>8</v>
      </c>
      <c r="E43" s="1" t="s">
        <v>172</v>
      </c>
      <c r="F43" s="1" t="s">
        <v>10</v>
      </c>
      <c r="G43" s="1">
        <v>0</v>
      </c>
      <c r="H43" s="1" t="s">
        <v>10</v>
      </c>
      <c r="I43" s="1">
        <v>0</v>
      </c>
      <c r="J43" s="1" t="s">
        <v>10</v>
      </c>
      <c r="K43" s="1">
        <v>0</v>
      </c>
      <c r="L43" s="1">
        <v>0</v>
      </c>
      <c r="M43" s="1" t="s">
        <v>10</v>
      </c>
      <c r="N43" s="1">
        <v>0</v>
      </c>
    </row>
    <row r="44" spans="1:14" x14ac:dyDescent="0.25">
      <c r="A44" s="1" t="s">
        <v>11</v>
      </c>
      <c r="B44" s="1">
        <v>3</v>
      </c>
      <c r="C44" s="1">
        <v>5</v>
      </c>
      <c r="D44" s="1" t="s">
        <v>1</v>
      </c>
      <c r="E44" s="1" t="s">
        <v>167</v>
      </c>
      <c r="F44" s="1" t="s">
        <v>173</v>
      </c>
      <c r="G44" s="1">
        <v>5</v>
      </c>
      <c r="H44" s="1" t="s">
        <v>174</v>
      </c>
      <c r="I44" s="1">
        <v>5</v>
      </c>
      <c r="J44" s="1" t="s">
        <v>175</v>
      </c>
      <c r="K44" s="1">
        <v>6</v>
      </c>
      <c r="L44" s="1">
        <v>10</v>
      </c>
      <c r="M44" s="1" t="s">
        <v>176</v>
      </c>
      <c r="N44" s="1">
        <v>10</v>
      </c>
    </row>
    <row r="45" spans="1:14" x14ac:dyDescent="0.25">
      <c r="A45" s="1" t="s">
        <v>16</v>
      </c>
      <c r="B45" s="1">
        <v>3</v>
      </c>
      <c r="C45" s="1">
        <v>5</v>
      </c>
      <c r="D45" s="1" t="s">
        <v>8</v>
      </c>
      <c r="E45" s="1" t="s">
        <v>172</v>
      </c>
      <c r="F45" s="1" t="s">
        <v>177</v>
      </c>
      <c r="G45" s="1">
        <v>8</v>
      </c>
      <c r="H45" s="1" t="s">
        <v>178</v>
      </c>
      <c r="I45" s="1">
        <v>10</v>
      </c>
      <c r="J45" s="1" t="s">
        <v>179</v>
      </c>
      <c r="K45" s="1">
        <v>7</v>
      </c>
      <c r="L45" s="1">
        <v>10</v>
      </c>
      <c r="M45" s="1" t="s">
        <v>180</v>
      </c>
      <c r="N45" s="1">
        <v>7</v>
      </c>
    </row>
    <row r="46" spans="1:14" x14ac:dyDescent="0.25">
      <c r="A46" s="1" t="s">
        <v>21</v>
      </c>
      <c r="B46" s="1">
        <v>3</v>
      </c>
      <c r="C46" s="1">
        <v>5</v>
      </c>
      <c r="D46" s="1" t="s">
        <v>1</v>
      </c>
      <c r="E46" s="1" t="s">
        <v>167</v>
      </c>
      <c r="F46" s="1" t="s">
        <v>181</v>
      </c>
      <c r="G46" s="1">
        <v>7</v>
      </c>
      <c r="H46" s="1" t="s">
        <v>182</v>
      </c>
      <c r="I46" s="1">
        <v>7</v>
      </c>
      <c r="J46" s="1" t="s">
        <v>183</v>
      </c>
      <c r="K46" s="1">
        <v>8</v>
      </c>
      <c r="L46" s="1">
        <v>10</v>
      </c>
      <c r="M46" s="1" t="s">
        <v>184</v>
      </c>
      <c r="N46" s="1">
        <v>10</v>
      </c>
    </row>
    <row r="47" spans="1:14" x14ac:dyDescent="0.25">
      <c r="A47" s="1" t="s">
        <v>26</v>
      </c>
      <c r="B47" s="1">
        <v>3</v>
      </c>
      <c r="C47" s="1">
        <v>5</v>
      </c>
      <c r="D47" s="1" t="s">
        <v>8</v>
      </c>
      <c r="E47" s="1" t="s">
        <v>172</v>
      </c>
      <c r="F47" s="1" t="s">
        <v>185</v>
      </c>
      <c r="G47" s="1">
        <v>8</v>
      </c>
      <c r="H47" s="1" t="s">
        <v>186</v>
      </c>
      <c r="I47" s="1">
        <v>8</v>
      </c>
      <c r="J47" s="1" t="s">
        <v>187</v>
      </c>
      <c r="K47" s="1">
        <v>3</v>
      </c>
      <c r="L47" s="1">
        <v>5</v>
      </c>
      <c r="M47" s="1" t="s">
        <v>188</v>
      </c>
      <c r="N47" s="1">
        <v>8</v>
      </c>
    </row>
    <row r="48" spans="1:14" x14ac:dyDescent="0.25">
      <c r="A48" s="1" t="s">
        <v>31</v>
      </c>
      <c r="B48" s="1">
        <v>3</v>
      </c>
      <c r="C48" s="1">
        <v>5</v>
      </c>
      <c r="D48" s="1" t="s">
        <v>1</v>
      </c>
      <c r="E48" s="1" t="s">
        <v>167</v>
      </c>
      <c r="F48" s="1" t="s">
        <v>189</v>
      </c>
      <c r="G48" s="1">
        <v>10</v>
      </c>
      <c r="H48" s="1" t="s">
        <v>190</v>
      </c>
      <c r="I48" s="1">
        <v>5</v>
      </c>
      <c r="J48" s="1" t="s">
        <v>149</v>
      </c>
      <c r="K48" s="1">
        <v>8</v>
      </c>
      <c r="L48" s="1">
        <v>10</v>
      </c>
      <c r="M48" s="1" t="s">
        <v>191</v>
      </c>
      <c r="N48" s="1">
        <v>10</v>
      </c>
    </row>
    <row r="49" spans="1:14" x14ac:dyDescent="0.25">
      <c r="A49" s="1" t="s">
        <v>36</v>
      </c>
      <c r="B49" s="1">
        <v>3</v>
      </c>
      <c r="C49" s="1">
        <v>5</v>
      </c>
      <c r="D49" s="1" t="s">
        <v>8</v>
      </c>
      <c r="E49" s="1" t="s">
        <v>172</v>
      </c>
      <c r="F49" s="1" t="s">
        <v>192</v>
      </c>
      <c r="G49" s="1">
        <v>5</v>
      </c>
      <c r="H49" s="1" t="s">
        <v>193</v>
      </c>
      <c r="I49" s="1">
        <v>8</v>
      </c>
      <c r="J49" s="1" t="s">
        <v>194</v>
      </c>
      <c r="K49" s="1">
        <v>10</v>
      </c>
      <c r="L49" s="1">
        <v>10</v>
      </c>
      <c r="M49" s="1" t="s">
        <v>195</v>
      </c>
      <c r="N49" s="1">
        <v>10</v>
      </c>
    </row>
    <row r="50" spans="1:14" x14ac:dyDescent="0.25">
      <c r="A50" s="1" t="s">
        <v>41</v>
      </c>
      <c r="B50" s="1">
        <v>3</v>
      </c>
      <c r="C50" s="1">
        <v>5</v>
      </c>
      <c r="D50" s="1" t="s">
        <v>8</v>
      </c>
      <c r="E50" s="1" t="s">
        <v>172</v>
      </c>
      <c r="F50" s="1" t="s">
        <v>196</v>
      </c>
      <c r="G50" s="1">
        <v>10</v>
      </c>
      <c r="H50" s="1" t="s">
        <v>197</v>
      </c>
      <c r="I50" s="1">
        <v>5</v>
      </c>
      <c r="J50" s="1" t="s">
        <v>198</v>
      </c>
      <c r="K50" s="1">
        <v>10</v>
      </c>
      <c r="L50" s="1">
        <v>10</v>
      </c>
      <c r="M50" s="1" t="s">
        <v>199</v>
      </c>
      <c r="N50" s="1">
        <v>10</v>
      </c>
    </row>
    <row r="51" spans="1:14" x14ac:dyDescent="0.25">
      <c r="A51" s="1" t="s">
        <v>46</v>
      </c>
      <c r="B51" s="1">
        <v>3</v>
      </c>
      <c r="C51" s="1">
        <v>5</v>
      </c>
      <c r="D51" s="1" t="s">
        <v>1</v>
      </c>
      <c r="E51" s="1" t="s">
        <v>167</v>
      </c>
      <c r="F51" s="1" t="s">
        <v>200</v>
      </c>
      <c r="G51" s="1">
        <v>6</v>
      </c>
      <c r="H51" s="1" t="s">
        <v>201</v>
      </c>
      <c r="I51" s="1">
        <v>6</v>
      </c>
      <c r="J51" s="1" t="s">
        <v>202</v>
      </c>
      <c r="K51" s="1">
        <v>5</v>
      </c>
      <c r="L51" s="1">
        <v>8</v>
      </c>
      <c r="M51" s="1" t="s">
        <v>203</v>
      </c>
      <c r="N51" s="1">
        <v>0</v>
      </c>
    </row>
    <row r="52" spans="1:14" x14ac:dyDescent="0.25">
      <c r="A52" s="1" t="s">
        <v>0</v>
      </c>
      <c r="B52" s="1">
        <v>3</v>
      </c>
      <c r="C52" s="1">
        <v>6</v>
      </c>
      <c r="D52" s="1" t="s">
        <v>8</v>
      </c>
      <c r="E52" s="1" t="s">
        <v>172</v>
      </c>
      <c r="F52" s="1" t="s">
        <v>204</v>
      </c>
      <c r="G52" s="1">
        <v>7</v>
      </c>
      <c r="H52" s="1" t="s">
        <v>205</v>
      </c>
      <c r="I52" s="1">
        <v>8</v>
      </c>
      <c r="J52" s="1" t="s">
        <v>206</v>
      </c>
      <c r="K52" s="1">
        <v>4</v>
      </c>
      <c r="L52" s="1">
        <v>10</v>
      </c>
      <c r="M52" s="1" t="s">
        <v>207</v>
      </c>
      <c r="N52" s="1">
        <v>10</v>
      </c>
    </row>
    <row r="53" spans="1:14" x14ac:dyDescent="0.25">
      <c r="A53" s="1" t="s">
        <v>7</v>
      </c>
      <c r="B53" s="1">
        <v>3</v>
      </c>
      <c r="C53" s="1">
        <v>6</v>
      </c>
      <c r="D53" s="1" t="s">
        <v>1</v>
      </c>
      <c r="E53" s="1" t="s">
        <v>167</v>
      </c>
      <c r="F53" s="1" t="s">
        <v>208</v>
      </c>
      <c r="G53" s="1">
        <v>3</v>
      </c>
      <c r="H53" s="1" t="s">
        <v>209</v>
      </c>
      <c r="I53" s="1">
        <v>3</v>
      </c>
      <c r="J53" s="1" t="s">
        <v>210</v>
      </c>
      <c r="K53" s="1">
        <v>10</v>
      </c>
      <c r="L53" s="1">
        <v>10</v>
      </c>
      <c r="M53" s="1"/>
      <c r="N53" s="1">
        <v>10</v>
      </c>
    </row>
    <row r="54" spans="1:14" x14ac:dyDescent="0.25">
      <c r="A54" s="1" t="s">
        <v>11</v>
      </c>
      <c r="B54" s="1">
        <v>3</v>
      </c>
      <c r="C54" s="1">
        <v>6</v>
      </c>
      <c r="D54" s="1" t="s">
        <v>8</v>
      </c>
      <c r="E54" s="1" t="s">
        <v>172</v>
      </c>
      <c r="F54" s="1" t="s">
        <v>211</v>
      </c>
      <c r="G54" s="1">
        <v>10</v>
      </c>
      <c r="H54" s="1" t="s">
        <v>212</v>
      </c>
      <c r="I54" s="1">
        <v>10</v>
      </c>
      <c r="J54" s="1" t="s">
        <v>213</v>
      </c>
      <c r="K54" s="1">
        <v>8</v>
      </c>
      <c r="L54" s="1">
        <v>2</v>
      </c>
      <c r="M54" s="1" t="s">
        <v>214</v>
      </c>
      <c r="N54" s="1">
        <v>2</v>
      </c>
    </row>
    <row r="55" spans="1:14" x14ac:dyDescent="0.25">
      <c r="A55" s="1" t="s">
        <v>16</v>
      </c>
      <c r="B55" s="1">
        <v>3</v>
      </c>
      <c r="C55" s="1">
        <v>6</v>
      </c>
      <c r="D55" s="1" t="s">
        <v>1</v>
      </c>
      <c r="E55" s="1" t="s">
        <v>167</v>
      </c>
      <c r="F55" s="1" t="s">
        <v>215</v>
      </c>
      <c r="G55" s="1">
        <v>7</v>
      </c>
      <c r="H55" s="1" t="s">
        <v>216</v>
      </c>
      <c r="I55" s="1">
        <v>2</v>
      </c>
      <c r="J55" s="1" t="s">
        <v>217</v>
      </c>
      <c r="K55" s="1">
        <v>0</v>
      </c>
      <c r="L55" s="1">
        <v>2</v>
      </c>
      <c r="M55" s="1" t="s">
        <v>218</v>
      </c>
      <c r="N55" s="1">
        <v>0</v>
      </c>
    </row>
    <row r="56" spans="1:14" x14ac:dyDescent="0.25">
      <c r="A56" s="1" t="s">
        <v>21</v>
      </c>
      <c r="B56" s="1">
        <v>3</v>
      </c>
      <c r="C56" s="1">
        <v>6</v>
      </c>
      <c r="D56" s="1" t="s">
        <v>8</v>
      </c>
      <c r="E56" s="1" t="s">
        <v>172</v>
      </c>
      <c r="F56" s="1" t="s">
        <v>219</v>
      </c>
      <c r="G56" s="1">
        <v>3</v>
      </c>
      <c r="H56" s="1" t="s">
        <v>220</v>
      </c>
      <c r="I56" s="1">
        <v>2</v>
      </c>
      <c r="J56" s="1" t="s">
        <v>221</v>
      </c>
      <c r="K56" s="1">
        <v>7</v>
      </c>
      <c r="L56" s="1">
        <v>2</v>
      </c>
      <c r="M56" s="1" t="s">
        <v>222</v>
      </c>
      <c r="N56" s="1">
        <v>3</v>
      </c>
    </row>
    <row r="57" spans="1:14" x14ac:dyDescent="0.25">
      <c r="A57" s="1" t="s">
        <v>26</v>
      </c>
      <c r="B57" s="1">
        <v>3</v>
      </c>
      <c r="C57" s="1">
        <v>6</v>
      </c>
      <c r="D57" s="1" t="s">
        <v>1</v>
      </c>
      <c r="E57" s="1" t="s">
        <v>167</v>
      </c>
      <c r="F57" s="1" t="s">
        <v>223</v>
      </c>
      <c r="G57" s="1">
        <v>3</v>
      </c>
      <c r="H57" s="1" t="s">
        <v>224</v>
      </c>
      <c r="I57" s="1">
        <v>3</v>
      </c>
      <c r="J57" s="1" t="s">
        <v>225</v>
      </c>
      <c r="K57" s="1">
        <v>8</v>
      </c>
      <c r="L57" s="1">
        <v>10</v>
      </c>
      <c r="M57" s="1" t="s">
        <v>226</v>
      </c>
      <c r="N57" s="1">
        <v>10</v>
      </c>
    </row>
    <row r="58" spans="1:14" x14ac:dyDescent="0.25">
      <c r="A58" s="1" t="s">
        <v>31</v>
      </c>
      <c r="B58" s="1">
        <v>3</v>
      </c>
      <c r="C58" s="1">
        <v>6</v>
      </c>
      <c r="D58" s="1" t="s">
        <v>8</v>
      </c>
      <c r="E58" s="1" t="s">
        <v>172</v>
      </c>
      <c r="F58" s="1" t="s">
        <v>227</v>
      </c>
      <c r="G58" s="1">
        <v>8</v>
      </c>
      <c r="H58" s="1" t="s">
        <v>228</v>
      </c>
      <c r="I58" s="1">
        <v>8</v>
      </c>
      <c r="J58" s="1" t="s">
        <v>229</v>
      </c>
      <c r="K58" s="1">
        <v>0</v>
      </c>
      <c r="L58" s="1">
        <v>10</v>
      </c>
      <c r="M58" s="1" t="s">
        <v>230</v>
      </c>
      <c r="N58" s="1">
        <v>10</v>
      </c>
    </row>
    <row r="59" spans="1:14" x14ac:dyDescent="0.25">
      <c r="A59" s="1" t="s">
        <v>36</v>
      </c>
      <c r="B59" s="1">
        <v>3</v>
      </c>
      <c r="C59" s="1">
        <v>6</v>
      </c>
      <c r="D59" s="1" t="s">
        <v>1</v>
      </c>
      <c r="E59" s="1" t="s">
        <v>167</v>
      </c>
      <c r="F59" s="1" t="s">
        <v>231</v>
      </c>
      <c r="G59" s="1">
        <v>10</v>
      </c>
      <c r="H59" s="1" t="s">
        <v>232</v>
      </c>
      <c r="I59" s="1">
        <v>5</v>
      </c>
      <c r="J59" s="1" t="s">
        <v>233</v>
      </c>
      <c r="K59" s="1">
        <v>5</v>
      </c>
      <c r="L59" s="1">
        <v>10</v>
      </c>
      <c r="M59" s="1" t="s">
        <v>234</v>
      </c>
      <c r="N59" s="1">
        <v>6</v>
      </c>
    </row>
    <row r="60" spans="1:14" x14ac:dyDescent="0.25">
      <c r="A60" s="1" t="s">
        <v>41</v>
      </c>
      <c r="B60" s="1">
        <v>3</v>
      </c>
      <c r="C60" s="1">
        <v>6</v>
      </c>
      <c r="D60" s="1" t="s">
        <v>1</v>
      </c>
      <c r="E60" s="1" t="s">
        <v>167</v>
      </c>
      <c r="F60" s="1" t="s">
        <v>235</v>
      </c>
      <c r="G60" s="1">
        <v>10</v>
      </c>
      <c r="H60" s="1" t="s">
        <v>236</v>
      </c>
      <c r="I60" s="1">
        <v>10</v>
      </c>
      <c r="J60" s="1" t="s">
        <v>237</v>
      </c>
      <c r="K60" s="1">
        <v>10</v>
      </c>
      <c r="L60" s="1">
        <v>10</v>
      </c>
      <c r="M60" s="1" t="s">
        <v>238</v>
      </c>
      <c r="N60" s="1">
        <v>8</v>
      </c>
    </row>
    <row r="61" spans="1:14" x14ac:dyDescent="0.25">
      <c r="A61" s="1" t="s">
        <v>46</v>
      </c>
      <c r="B61" s="1">
        <v>3</v>
      </c>
      <c r="C61" s="1">
        <v>6</v>
      </c>
      <c r="D61" s="1" t="s">
        <v>8</v>
      </c>
      <c r="E61" s="1" t="s">
        <v>172</v>
      </c>
      <c r="F61" s="1" t="s">
        <v>239</v>
      </c>
      <c r="G61" s="1">
        <v>7</v>
      </c>
      <c r="H61" s="1" t="s">
        <v>240</v>
      </c>
      <c r="I61" s="1">
        <v>3</v>
      </c>
      <c r="J61" s="1" t="s">
        <v>241</v>
      </c>
      <c r="K61" s="1">
        <v>8</v>
      </c>
      <c r="L61" s="1">
        <v>0</v>
      </c>
      <c r="M61" s="1" t="s">
        <v>242</v>
      </c>
      <c r="N61" s="1">
        <v>6</v>
      </c>
    </row>
    <row r="62" spans="1:14" x14ac:dyDescent="0.25">
      <c r="A62" s="1" t="s">
        <v>0</v>
      </c>
      <c r="B62" s="1">
        <v>4</v>
      </c>
      <c r="C62" s="1">
        <v>7</v>
      </c>
      <c r="D62" s="1" t="s">
        <v>8</v>
      </c>
      <c r="E62" s="1" t="s">
        <v>243</v>
      </c>
      <c r="F62" s="1" t="s">
        <v>244</v>
      </c>
      <c r="G62" s="1">
        <v>8</v>
      </c>
      <c r="H62" s="1" t="s">
        <v>245</v>
      </c>
      <c r="I62" s="1">
        <v>8</v>
      </c>
      <c r="J62" s="1" t="s">
        <v>246</v>
      </c>
      <c r="K62" s="1">
        <v>6</v>
      </c>
      <c r="L62" s="1">
        <v>10</v>
      </c>
      <c r="M62" s="1" t="s">
        <v>247</v>
      </c>
      <c r="N62" s="1">
        <v>10</v>
      </c>
    </row>
    <row r="63" spans="1:14" x14ac:dyDescent="0.25">
      <c r="A63" s="1" t="s">
        <v>7</v>
      </c>
      <c r="B63" s="1">
        <v>4</v>
      </c>
      <c r="C63" s="1">
        <v>7</v>
      </c>
      <c r="D63" s="1" t="s">
        <v>1</v>
      </c>
      <c r="E63" s="1" t="s">
        <v>248</v>
      </c>
      <c r="F63" s="1" t="s">
        <v>249</v>
      </c>
      <c r="G63" s="1">
        <v>8</v>
      </c>
      <c r="H63" s="1" t="s">
        <v>250</v>
      </c>
      <c r="I63" s="1">
        <v>8</v>
      </c>
      <c r="J63" s="1" t="s">
        <v>251</v>
      </c>
      <c r="K63" s="1">
        <v>8</v>
      </c>
      <c r="L63" s="1">
        <v>10</v>
      </c>
      <c r="M63" s="1" t="s">
        <v>252</v>
      </c>
      <c r="N63" s="1">
        <v>10</v>
      </c>
    </row>
    <row r="64" spans="1:14" x14ac:dyDescent="0.25">
      <c r="A64" s="1" t="s">
        <v>11</v>
      </c>
      <c r="B64" s="1">
        <v>4</v>
      </c>
      <c r="C64" s="1">
        <v>7</v>
      </c>
      <c r="D64" s="1" t="s">
        <v>8</v>
      </c>
      <c r="E64" s="1" t="s">
        <v>243</v>
      </c>
      <c r="F64" s="1" t="s">
        <v>253</v>
      </c>
      <c r="G64" s="1">
        <v>2</v>
      </c>
      <c r="H64" s="1" t="s">
        <v>254</v>
      </c>
      <c r="I64" s="1">
        <v>5</v>
      </c>
      <c r="J64" s="1" t="s">
        <v>255</v>
      </c>
      <c r="K64" s="1">
        <v>2</v>
      </c>
      <c r="L64" s="1">
        <v>2</v>
      </c>
      <c r="M64" s="1" t="s">
        <v>256</v>
      </c>
      <c r="N64" s="1">
        <v>2</v>
      </c>
    </row>
    <row r="65" spans="1:14" x14ac:dyDescent="0.25">
      <c r="A65" s="1" t="s">
        <v>16</v>
      </c>
      <c r="B65" s="1">
        <v>4</v>
      </c>
      <c r="C65" s="1">
        <v>7</v>
      </c>
      <c r="D65" s="1" t="s">
        <v>1</v>
      </c>
      <c r="E65" s="1" t="s">
        <v>248</v>
      </c>
      <c r="F65" s="1" t="s">
        <v>257</v>
      </c>
      <c r="G65" s="1">
        <v>9</v>
      </c>
      <c r="H65" s="1" t="s">
        <v>258</v>
      </c>
      <c r="I65" s="1">
        <v>9</v>
      </c>
      <c r="J65" s="1" t="s">
        <v>259</v>
      </c>
      <c r="K65" s="1">
        <v>0</v>
      </c>
      <c r="L65" s="1">
        <v>9</v>
      </c>
      <c r="M65" s="1" t="s">
        <v>260</v>
      </c>
      <c r="N65" s="1">
        <v>2</v>
      </c>
    </row>
    <row r="66" spans="1:14" x14ac:dyDescent="0.25">
      <c r="A66" s="1" t="s">
        <v>21</v>
      </c>
      <c r="B66" s="1">
        <v>4</v>
      </c>
      <c r="C66" s="1">
        <v>7</v>
      </c>
      <c r="D66" s="1" t="s">
        <v>8</v>
      </c>
      <c r="E66" s="1" t="s">
        <v>243</v>
      </c>
      <c r="F66" s="1" t="s">
        <v>261</v>
      </c>
      <c r="G66" s="1">
        <v>9</v>
      </c>
      <c r="H66" s="1" t="s">
        <v>262</v>
      </c>
      <c r="I66" s="1">
        <v>8</v>
      </c>
      <c r="J66" s="1" t="s">
        <v>69</v>
      </c>
      <c r="K66" s="1">
        <v>0</v>
      </c>
      <c r="L66" s="1">
        <v>8</v>
      </c>
      <c r="M66" s="1" t="s">
        <v>263</v>
      </c>
      <c r="N66" s="1">
        <v>10</v>
      </c>
    </row>
    <row r="67" spans="1:14" x14ac:dyDescent="0.25">
      <c r="A67" s="1" t="s">
        <v>26</v>
      </c>
      <c r="B67" s="1">
        <v>4</v>
      </c>
      <c r="C67" s="1">
        <v>7</v>
      </c>
      <c r="D67" s="1" t="s">
        <v>1</v>
      </c>
      <c r="E67" s="1" t="s">
        <v>248</v>
      </c>
      <c r="F67" s="1" t="s">
        <v>264</v>
      </c>
      <c r="G67" s="1">
        <v>8</v>
      </c>
      <c r="H67" s="1" t="s">
        <v>265</v>
      </c>
      <c r="I67" s="1">
        <v>7</v>
      </c>
      <c r="J67" s="1" t="s">
        <v>266</v>
      </c>
      <c r="K67" s="1">
        <v>6</v>
      </c>
      <c r="L67" s="1">
        <v>9</v>
      </c>
      <c r="M67" s="1" t="s">
        <v>267</v>
      </c>
      <c r="N67" s="1">
        <v>8</v>
      </c>
    </row>
    <row r="68" spans="1:14" x14ac:dyDescent="0.25">
      <c r="A68" s="1" t="s">
        <v>31</v>
      </c>
      <c r="B68" s="1">
        <v>4</v>
      </c>
      <c r="C68" s="1">
        <v>7</v>
      </c>
      <c r="D68" s="1" t="s">
        <v>8</v>
      </c>
      <c r="E68" s="1" t="s">
        <v>243</v>
      </c>
      <c r="F68" s="1" t="s">
        <v>268</v>
      </c>
      <c r="G68" s="1">
        <v>10</v>
      </c>
      <c r="H68" s="1" t="s">
        <v>269</v>
      </c>
      <c r="I68" s="1">
        <v>2</v>
      </c>
      <c r="J68" s="1" t="s">
        <v>270</v>
      </c>
      <c r="K68" s="1">
        <v>0</v>
      </c>
      <c r="L68" s="1">
        <v>7</v>
      </c>
      <c r="M68" s="1" t="s">
        <v>271</v>
      </c>
      <c r="N68" s="1">
        <v>2</v>
      </c>
    </row>
    <row r="69" spans="1:14" x14ac:dyDescent="0.25">
      <c r="A69" s="1" t="s">
        <v>36</v>
      </c>
      <c r="B69" s="1">
        <v>4</v>
      </c>
      <c r="C69" s="1">
        <v>7</v>
      </c>
      <c r="D69" s="1" t="s">
        <v>1</v>
      </c>
      <c r="E69" s="1" t="s">
        <v>248</v>
      </c>
      <c r="F69" s="1" t="s">
        <v>272</v>
      </c>
      <c r="G69" s="1">
        <v>7</v>
      </c>
      <c r="H69" s="1" t="s">
        <v>273</v>
      </c>
      <c r="I69" s="1">
        <v>8</v>
      </c>
      <c r="J69" s="1" t="s">
        <v>274</v>
      </c>
      <c r="K69" s="1">
        <v>8</v>
      </c>
      <c r="L69" s="1">
        <v>10</v>
      </c>
      <c r="M69" s="1" t="s">
        <v>275</v>
      </c>
      <c r="N69" s="1">
        <v>10</v>
      </c>
    </row>
    <row r="70" spans="1:14" x14ac:dyDescent="0.25">
      <c r="A70" s="1" t="s">
        <v>41</v>
      </c>
      <c r="B70" s="1">
        <v>4</v>
      </c>
      <c r="C70" s="1">
        <v>7</v>
      </c>
      <c r="D70" s="1" t="s">
        <v>1</v>
      </c>
      <c r="E70" s="1" t="s">
        <v>248</v>
      </c>
      <c r="F70" s="1" t="s">
        <v>276</v>
      </c>
      <c r="G70" s="1">
        <v>9</v>
      </c>
      <c r="H70" s="1" t="s">
        <v>277</v>
      </c>
      <c r="I70" s="1">
        <v>9</v>
      </c>
      <c r="J70" s="1" t="s">
        <v>278</v>
      </c>
      <c r="K70" s="1">
        <v>0</v>
      </c>
      <c r="L70" s="1">
        <v>7</v>
      </c>
      <c r="M70" s="1" t="s">
        <v>279</v>
      </c>
      <c r="N70" s="1">
        <v>9</v>
      </c>
    </row>
    <row r="71" spans="1:14" x14ac:dyDescent="0.25">
      <c r="A71" s="1" t="s">
        <v>46</v>
      </c>
      <c r="B71" s="1">
        <v>4</v>
      </c>
      <c r="C71" s="1">
        <v>7</v>
      </c>
      <c r="D71" s="1" t="s">
        <v>8</v>
      </c>
      <c r="E71" s="1" t="s">
        <v>243</v>
      </c>
      <c r="F71" s="1" t="s">
        <v>280</v>
      </c>
      <c r="G71" s="1">
        <v>8</v>
      </c>
      <c r="H71" s="1" t="s">
        <v>281</v>
      </c>
      <c r="I71" s="1">
        <v>2</v>
      </c>
      <c r="J71" s="1" t="s">
        <v>282</v>
      </c>
      <c r="K71" s="1">
        <v>10</v>
      </c>
      <c r="L71" s="1">
        <v>10</v>
      </c>
      <c r="M71" s="1" t="s">
        <v>283</v>
      </c>
      <c r="N71" s="1">
        <v>5</v>
      </c>
    </row>
    <row r="72" spans="1:14" x14ac:dyDescent="0.25">
      <c r="A72" s="1" t="s">
        <v>0</v>
      </c>
      <c r="B72" s="1">
        <v>4</v>
      </c>
      <c r="C72" s="1">
        <v>8</v>
      </c>
      <c r="D72" s="1" t="s">
        <v>1</v>
      </c>
      <c r="E72" s="1" t="s">
        <v>248</v>
      </c>
      <c r="F72" s="1" t="s">
        <v>284</v>
      </c>
      <c r="G72" s="1">
        <v>3</v>
      </c>
      <c r="H72" s="1" t="s">
        <v>285</v>
      </c>
      <c r="I72" s="1">
        <v>3</v>
      </c>
      <c r="J72" s="1" t="s">
        <v>286</v>
      </c>
      <c r="K72" s="1">
        <v>4</v>
      </c>
      <c r="L72" s="1">
        <v>10</v>
      </c>
      <c r="M72" s="1" t="s">
        <v>287</v>
      </c>
      <c r="N72" s="1">
        <v>10</v>
      </c>
    </row>
    <row r="73" spans="1:14" x14ac:dyDescent="0.25">
      <c r="A73" s="1" t="s">
        <v>7</v>
      </c>
      <c r="B73" s="1">
        <v>4</v>
      </c>
      <c r="C73" s="1">
        <v>8</v>
      </c>
      <c r="D73" s="1" t="s">
        <v>8</v>
      </c>
      <c r="E73" s="1" t="s">
        <v>243</v>
      </c>
      <c r="F73" s="1" t="s">
        <v>10</v>
      </c>
      <c r="G73" s="1">
        <v>0</v>
      </c>
      <c r="H73" s="1" t="s">
        <v>10</v>
      </c>
      <c r="I73" s="1">
        <v>0</v>
      </c>
      <c r="J73" s="1" t="s">
        <v>10</v>
      </c>
      <c r="K73" s="1">
        <v>0</v>
      </c>
      <c r="L73" s="1">
        <v>0</v>
      </c>
      <c r="M73" s="1" t="s">
        <v>10</v>
      </c>
      <c r="N73" s="1">
        <v>0</v>
      </c>
    </row>
    <row r="74" spans="1:14" x14ac:dyDescent="0.25">
      <c r="A74" s="1" t="s">
        <v>11</v>
      </c>
      <c r="B74" s="1">
        <v>4</v>
      </c>
      <c r="C74" s="1">
        <v>8</v>
      </c>
      <c r="D74" s="1" t="s">
        <v>1</v>
      </c>
      <c r="E74" s="1" t="s">
        <v>248</v>
      </c>
      <c r="F74" s="1" t="s">
        <v>288</v>
      </c>
      <c r="G74" s="1">
        <v>10</v>
      </c>
      <c r="H74" s="1" t="s">
        <v>289</v>
      </c>
      <c r="I74" s="1">
        <v>10</v>
      </c>
      <c r="J74" s="1" t="s">
        <v>290</v>
      </c>
      <c r="K74" s="1">
        <v>10</v>
      </c>
      <c r="L74" s="1">
        <v>10</v>
      </c>
      <c r="M74" s="1" t="s">
        <v>291</v>
      </c>
      <c r="N74" s="1">
        <v>10</v>
      </c>
    </row>
    <row r="75" spans="1:14" x14ac:dyDescent="0.25">
      <c r="A75" s="1" t="s">
        <v>16</v>
      </c>
      <c r="B75" s="1">
        <v>4</v>
      </c>
      <c r="C75" s="1">
        <v>8</v>
      </c>
      <c r="D75" s="1" t="s">
        <v>8</v>
      </c>
      <c r="E75" s="1" t="s">
        <v>243</v>
      </c>
      <c r="F75" s="1" t="s">
        <v>292</v>
      </c>
      <c r="G75" s="1">
        <v>8</v>
      </c>
      <c r="H75" s="1" t="s">
        <v>293</v>
      </c>
      <c r="I75" s="1">
        <v>8</v>
      </c>
      <c r="J75" s="1" t="s">
        <v>294</v>
      </c>
      <c r="K75" s="1">
        <v>5</v>
      </c>
      <c r="L75" s="1">
        <v>3</v>
      </c>
      <c r="M75" s="1" t="s">
        <v>295</v>
      </c>
      <c r="N75" s="1">
        <v>10</v>
      </c>
    </row>
    <row r="76" spans="1:14" x14ac:dyDescent="0.25">
      <c r="A76" s="1" t="s">
        <v>21</v>
      </c>
      <c r="B76" s="1">
        <v>4</v>
      </c>
      <c r="C76" s="1">
        <v>8</v>
      </c>
      <c r="D76" s="1" t="s">
        <v>1</v>
      </c>
      <c r="E76" s="1" t="s">
        <v>248</v>
      </c>
      <c r="F76" s="1" t="s">
        <v>296</v>
      </c>
      <c r="G76" s="1">
        <v>7</v>
      </c>
      <c r="H76" s="1" t="s">
        <v>297</v>
      </c>
      <c r="I76" s="1">
        <v>6</v>
      </c>
      <c r="J76" s="1" t="s">
        <v>298</v>
      </c>
      <c r="K76" s="1">
        <v>10</v>
      </c>
      <c r="L76" s="1">
        <v>10</v>
      </c>
      <c r="M76" s="1" t="s">
        <v>299</v>
      </c>
      <c r="N76" s="1">
        <v>8</v>
      </c>
    </row>
    <row r="77" spans="1:14" x14ac:dyDescent="0.25">
      <c r="A77" s="1" t="s">
        <v>26</v>
      </c>
      <c r="B77" s="1">
        <v>4</v>
      </c>
      <c r="C77" s="1">
        <v>8</v>
      </c>
      <c r="D77" s="1" t="s">
        <v>8</v>
      </c>
      <c r="E77" s="1" t="s">
        <v>243</v>
      </c>
      <c r="F77" s="1" t="s">
        <v>300</v>
      </c>
      <c r="G77" s="1">
        <v>10</v>
      </c>
      <c r="H77" s="1" t="s">
        <v>301</v>
      </c>
      <c r="I77" s="1">
        <v>10</v>
      </c>
      <c r="J77" s="1" t="s">
        <v>302</v>
      </c>
      <c r="K77" s="1">
        <v>7</v>
      </c>
      <c r="L77" s="1">
        <v>10</v>
      </c>
      <c r="M77" s="1" t="s">
        <v>303</v>
      </c>
      <c r="N77" s="1">
        <v>7</v>
      </c>
    </row>
    <row r="78" spans="1:14" x14ac:dyDescent="0.25">
      <c r="A78" s="1" t="s">
        <v>31</v>
      </c>
      <c r="B78" s="1">
        <v>4</v>
      </c>
      <c r="C78" s="1">
        <v>8</v>
      </c>
      <c r="D78" s="1" t="s">
        <v>1</v>
      </c>
      <c r="E78" s="1" t="s">
        <v>248</v>
      </c>
      <c r="F78" s="1" t="s">
        <v>304</v>
      </c>
      <c r="G78" s="1">
        <v>6</v>
      </c>
      <c r="H78" s="1" t="s">
        <v>305</v>
      </c>
      <c r="I78" s="1">
        <v>7</v>
      </c>
      <c r="J78" s="1" t="s">
        <v>306</v>
      </c>
      <c r="K78" s="1">
        <v>7</v>
      </c>
      <c r="L78" s="1">
        <v>10</v>
      </c>
      <c r="M78" s="1" t="s">
        <v>307</v>
      </c>
      <c r="N78" s="1">
        <v>10</v>
      </c>
    </row>
    <row r="79" spans="1:14" x14ac:dyDescent="0.25">
      <c r="A79" s="1" t="s">
        <v>36</v>
      </c>
      <c r="B79" s="1">
        <v>4</v>
      </c>
      <c r="C79" s="1">
        <v>8</v>
      </c>
      <c r="D79" s="1" t="s">
        <v>8</v>
      </c>
      <c r="E79" s="1" t="s">
        <v>243</v>
      </c>
      <c r="F79" s="1" t="s">
        <v>308</v>
      </c>
      <c r="G79" s="1">
        <v>9</v>
      </c>
      <c r="H79" s="1" t="s">
        <v>309</v>
      </c>
      <c r="I79" s="1">
        <v>6</v>
      </c>
      <c r="J79" s="1" t="s">
        <v>310</v>
      </c>
      <c r="K79" s="1">
        <v>10</v>
      </c>
      <c r="L79" s="1">
        <v>10</v>
      </c>
      <c r="M79" s="1" t="s">
        <v>311</v>
      </c>
      <c r="N79" s="1">
        <v>10</v>
      </c>
    </row>
    <row r="80" spans="1:14" x14ac:dyDescent="0.25">
      <c r="A80" s="1" t="s">
        <v>41</v>
      </c>
      <c r="B80" s="1">
        <v>4</v>
      </c>
      <c r="C80" s="1">
        <v>8</v>
      </c>
      <c r="D80" s="1" t="s">
        <v>8</v>
      </c>
      <c r="E80" s="1" t="s">
        <v>243</v>
      </c>
      <c r="F80" s="1" t="s">
        <v>312</v>
      </c>
      <c r="G80" s="1">
        <v>10</v>
      </c>
      <c r="H80" s="1" t="s">
        <v>313</v>
      </c>
      <c r="I80" s="1">
        <v>10</v>
      </c>
      <c r="J80" s="1" t="s">
        <v>314</v>
      </c>
      <c r="K80" s="1">
        <v>0</v>
      </c>
      <c r="L80" s="1">
        <v>2</v>
      </c>
      <c r="M80" s="1" t="s">
        <v>315</v>
      </c>
      <c r="N80" s="1">
        <v>2</v>
      </c>
    </row>
    <row r="81" spans="1:14" x14ac:dyDescent="0.25">
      <c r="A81" s="1" t="s">
        <v>46</v>
      </c>
      <c r="B81" s="1">
        <v>4</v>
      </c>
      <c r="C81" s="1">
        <v>8</v>
      </c>
      <c r="D81" s="1" t="s">
        <v>1</v>
      </c>
      <c r="E81" s="1" t="s">
        <v>248</v>
      </c>
      <c r="F81" s="1" t="s">
        <v>316</v>
      </c>
      <c r="G81" s="1">
        <v>6</v>
      </c>
      <c r="H81" s="1" t="s">
        <v>317</v>
      </c>
      <c r="I81" s="1">
        <v>6</v>
      </c>
      <c r="J81" s="1" t="s">
        <v>318</v>
      </c>
      <c r="K81" s="1">
        <v>6</v>
      </c>
      <c r="L81" s="1">
        <v>10</v>
      </c>
      <c r="M81" s="1" t="s">
        <v>319</v>
      </c>
      <c r="N81" s="1">
        <v>10</v>
      </c>
    </row>
    <row r="82" spans="1:14" x14ac:dyDescent="0.25">
      <c r="A82" s="1" t="s">
        <v>0</v>
      </c>
      <c r="B82" s="1">
        <v>5</v>
      </c>
      <c r="C82" s="1">
        <v>9</v>
      </c>
      <c r="D82" s="1" t="s">
        <v>1</v>
      </c>
      <c r="E82" s="1" t="s">
        <v>320</v>
      </c>
      <c r="F82" s="1" t="s">
        <v>321</v>
      </c>
      <c r="G82" s="1">
        <v>3</v>
      </c>
      <c r="H82" s="1" t="s">
        <v>322</v>
      </c>
      <c r="I82" s="1">
        <v>3</v>
      </c>
      <c r="J82" s="1" t="s">
        <v>323</v>
      </c>
      <c r="K82" s="1">
        <v>2</v>
      </c>
      <c r="L82" s="1">
        <v>2</v>
      </c>
      <c r="M82" s="1" t="s">
        <v>324</v>
      </c>
      <c r="N82" s="1">
        <v>4</v>
      </c>
    </row>
    <row r="83" spans="1:14" x14ac:dyDescent="0.25">
      <c r="A83" s="1" t="s">
        <v>7</v>
      </c>
      <c r="B83" s="1">
        <v>5</v>
      </c>
      <c r="C83" s="1">
        <v>9</v>
      </c>
      <c r="D83" s="1" t="s">
        <v>8</v>
      </c>
      <c r="E83" s="1" t="s">
        <v>325</v>
      </c>
      <c r="F83" s="1" t="s">
        <v>10</v>
      </c>
      <c r="G83" s="1">
        <v>0</v>
      </c>
      <c r="H83" s="1" t="s">
        <v>10</v>
      </c>
      <c r="I83" s="1">
        <v>0</v>
      </c>
      <c r="J83" s="1" t="s">
        <v>10</v>
      </c>
      <c r="K83" s="1">
        <v>0</v>
      </c>
      <c r="L83" s="1">
        <v>0</v>
      </c>
      <c r="M83" s="1" t="s">
        <v>10</v>
      </c>
      <c r="N83" s="1">
        <v>0</v>
      </c>
    </row>
    <row r="84" spans="1:14" x14ac:dyDescent="0.25">
      <c r="A84" s="1" t="s">
        <v>11</v>
      </c>
      <c r="B84" s="1">
        <v>5</v>
      </c>
      <c r="C84" s="1">
        <v>9</v>
      </c>
      <c r="D84" s="1" t="s">
        <v>1</v>
      </c>
      <c r="E84" s="1" t="s">
        <v>320</v>
      </c>
      <c r="F84" s="1" t="s">
        <v>326</v>
      </c>
      <c r="G84" s="1">
        <v>4</v>
      </c>
      <c r="H84" s="1" t="s">
        <v>327</v>
      </c>
      <c r="I84" s="1">
        <v>8</v>
      </c>
      <c r="J84" s="1" t="s">
        <v>328</v>
      </c>
      <c r="K84" s="1">
        <v>10</v>
      </c>
      <c r="L84" s="1">
        <v>10</v>
      </c>
      <c r="M84" s="1" t="s">
        <v>329</v>
      </c>
      <c r="N84" s="1">
        <v>8</v>
      </c>
    </row>
    <row r="85" spans="1:14" x14ac:dyDescent="0.25">
      <c r="A85" s="1" t="s">
        <v>16</v>
      </c>
      <c r="B85" s="1">
        <v>5</v>
      </c>
      <c r="C85" s="1">
        <v>9</v>
      </c>
      <c r="D85" s="1" t="s">
        <v>8</v>
      </c>
      <c r="E85" s="1" t="s">
        <v>325</v>
      </c>
      <c r="F85" s="1" t="s">
        <v>330</v>
      </c>
      <c r="G85" s="1">
        <v>5</v>
      </c>
      <c r="H85" s="1" t="s">
        <v>331</v>
      </c>
      <c r="I85" s="1">
        <v>5</v>
      </c>
      <c r="J85" s="1" t="s">
        <v>332</v>
      </c>
      <c r="K85" s="1">
        <v>2</v>
      </c>
      <c r="L85" s="1">
        <v>4</v>
      </c>
      <c r="M85" s="1" t="s">
        <v>333</v>
      </c>
      <c r="N85" s="1">
        <v>2</v>
      </c>
    </row>
    <row r="86" spans="1:14" x14ac:dyDescent="0.25">
      <c r="A86" s="1" t="s">
        <v>21</v>
      </c>
      <c r="B86" s="1">
        <v>5</v>
      </c>
      <c r="C86" s="1">
        <v>9</v>
      </c>
      <c r="D86" s="1" t="s">
        <v>1</v>
      </c>
      <c r="E86" s="1" t="s">
        <v>320</v>
      </c>
      <c r="F86" s="1" t="s">
        <v>334</v>
      </c>
      <c r="G86" s="1">
        <v>3</v>
      </c>
      <c r="H86" s="1" t="s">
        <v>335</v>
      </c>
      <c r="I86" s="1">
        <v>4</v>
      </c>
      <c r="J86" s="1" t="s">
        <v>336</v>
      </c>
      <c r="K86" s="1">
        <v>10</v>
      </c>
      <c r="L86" s="1">
        <v>10</v>
      </c>
      <c r="M86" s="1" t="s">
        <v>337</v>
      </c>
      <c r="N86" s="1">
        <v>10</v>
      </c>
    </row>
    <row r="87" spans="1:14" x14ac:dyDescent="0.25">
      <c r="A87" s="1" t="s">
        <v>26</v>
      </c>
      <c r="B87" s="1">
        <v>5</v>
      </c>
      <c r="C87" s="1">
        <v>9</v>
      </c>
      <c r="D87" s="1" t="s">
        <v>8</v>
      </c>
      <c r="E87" s="1" t="s">
        <v>325</v>
      </c>
      <c r="F87" s="1" t="s">
        <v>338</v>
      </c>
      <c r="G87" s="1">
        <v>8</v>
      </c>
      <c r="H87" s="1" t="s">
        <v>339</v>
      </c>
      <c r="I87" s="1">
        <v>10</v>
      </c>
      <c r="J87" s="1" t="s">
        <v>340</v>
      </c>
      <c r="K87" s="1">
        <v>10</v>
      </c>
      <c r="L87" s="1">
        <v>4</v>
      </c>
      <c r="M87" s="1" t="s">
        <v>341</v>
      </c>
      <c r="N87" s="1">
        <v>2</v>
      </c>
    </row>
    <row r="88" spans="1:14" x14ac:dyDescent="0.25">
      <c r="A88" s="1" t="s">
        <v>31</v>
      </c>
      <c r="B88" s="1">
        <v>5</v>
      </c>
      <c r="C88" s="1">
        <v>9</v>
      </c>
      <c r="D88" s="1" t="s">
        <v>1</v>
      </c>
      <c r="E88" s="1" t="s">
        <v>320</v>
      </c>
      <c r="F88" s="1" t="s">
        <v>342</v>
      </c>
      <c r="G88" s="1">
        <v>10</v>
      </c>
      <c r="H88" s="1" t="s">
        <v>343</v>
      </c>
      <c r="I88" s="1">
        <v>10</v>
      </c>
      <c r="J88" s="1" t="s">
        <v>344</v>
      </c>
      <c r="K88" s="1">
        <v>0</v>
      </c>
      <c r="L88" s="1">
        <v>3</v>
      </c>
      <c r="M88" s="1" t="s">
        <v>345</v>
      </c>
      <c r="N88" s="1">
        <v>5</v>
      </c>
    </row>
    <row r="89" spans="1:14" x14ac:dyDescent="0.25">
      <c r="A89" s="1" t="s">
        <v>36</v>
      </c>
      <c r="B89" s="1">
        <v>5</v>
      </c>
      <c r="C89" s="1">
        <v>9</v>
      </c>
      <c r="D89" s="1" t="s">
        <v>8</v>
      </c>
      <c r="E89" s="1" t="s">
        <v>325</v>
      </c>
      <c r="F89" s="1" t="s">
        <v>346</v>
      </c>
      <c r="G89" s="1">
        <v>0</v>
      </c>
      <c r="H89" s="1" t="s">
        <v>347</v>
      </c>
      <c r="I89" s="1">
        <v>2</v>
      </c>
      <c r="J89" s="1" t="s">
        <v>348</v>
      </c>
      <c r="K89" s="1">
        <v>2</v>
      </c>
      <c r="L89" s="1">
        <v>2</v>
      </c>
      <c r="M89" s="1" t="s">
        <v>349</v>
      </c>
      <c r="N89" s="1">
        <v>2</v>
      </c>
    </row>
    <row r="90" spans="1:14" x14ac:dyDescent="0.25">
      <c r="A90" s="1" t="s">
        <v>41</v>
      </c>
      <c r="B90" s="1">
        <v>5</v>
      </c>
      <c r="C90" s="1">
        <v>9</v>
      </c>
      <c r="D90" s="1" t="s">
        <v>8</v>
      </c>
      <c r="E90" s="1" t="s">
        <v>325</v>
      </c>
      <c r="F90" s="1" t="s">
        <v>350</v>
      </c>
      <c r="G90" s="1">
        <v>6</v>
      </c>
      <c r="H90" s="1" t="s">
        <v>351</v>
      </c>
      <c r="I90" s="1">
        <v>0</v>
      </c>
      <c r="J90" s="1" t="s">
        <v>352</v>
      </c>
      <c r="K90" s="1">
        <v>0</v>
      </c>
      <c r="L90" s="1">
        <v>4</v>
      </c>
      <c r="M90" s="1" t="s">
        <v>353</v>
      </c>
      <c r="N90" s="1">
        <v>2</v>
      </c>
    </row>
    <row r="91" spans="1:14" x14ac:dyDescent="0.25">
      <c r="A91" s="1" t="s">
        <v>46</v>
      </c>
      <c r="B91" s="1">
        <v>5</v>
      </c>
      <c r="C91" s="1">
        <v>9</v>
      </c>
      <c r="D91" s="1" t="s">
        <v>1</v>
      </c>
      <c r="E91" s="1" t="s">
        <v>320</v>
      </c>
      <c r="F91" s="1" t="s">
        <v>354</v>
      </c>
      <c r="G91" s="1">
        <v>3</v>
      </c>
      <c r="H91" s="1" t="s">
        <v>355</v>
      </c>
      <c r="I91" s="1">
        <v>3</v>
      </c>
      <c r="J91" s="1" t="s">
        <v>356</v>
      </c>
      <c r="K91" s="1">
        <v>8</v>
      </c>
      <c r="L91" s="1">
        <v>10</v>
      </c>
      <c r="M91" s="1" t="s">
        <v>357</v>
      </c>
      <c r="N91" s="1">
        <v>10</v>
      </c>
    </row>
    <row r="92" spans="1:14" x14ac:dyDescent="0.25">
      <c r="A92" s="1" t="s">
        <v>0</v>
      </c>
      <c r="B92" s="1">
        <v>5</v>
      </c>
      <c r="C92" s="1">
        <v>10</v>
      </c>
      <c r="D92" s="1" t="s">
        <v>8</v>
      </c>
      <c r="E92" s="1" t="s">
        <v>325</v>
      </c>
      <c r="F92" s="1" t="s">
        <v>358</v>
      </c>
      <c r="G92" s="1">
        <v>3</v>
      </c>
      <c r="H92" s="1" t="s">
        <v>359</v>
      </c>
      <c r="I92" s="1">
        <v>3</v>
      </c>
      <c r="J92" s="1" t="s">
        <v>360</v>
      </c>
      <c r="K92" s="1">
        <v>5</v>
      </c>
      <c r="L92" s="1">
        <v>6</v>
      </c>
      <c r="M92" s="1" t="s">
        <v>361</v>
      </c>
      <c r="N92" s="1">
        <v>8</v>
      </c>
    </row>
    <row r="93" spans="1:14" x14ac:dyDescent="0.25">
      <c r="A93" s="1" t="s">
        <v>7</v>
      </c>
      <c r="B93" s="1">
        <v>5</v>
      </c>
      <c r="C93" s="1">
        <v>10</v>
      </c>
      <c r="D93" s="1" t="s">
        <v>1</v>
      </c>
      <c r="E93" s="1" t="s">
        <v>320</v>
      </c>
      <c r="F93" s="1" t="s">
        <v>362</v>
      </c>
      <c r="G93" s="1">
        <v>4</v>
      </c>
      <c r="H93" s="1" t="s">
        <v>363</v>
      </c>
      <c r="I93" s="1">
        <v>3</v>
      </c>
      <c r="J93" s="1" t="s">
        <v>364</v>
      </c>
      <c r="K93" s="1">
        <v>3</v>
      </c>
      <c r="L93" s="1">
        <v>9</v>
      </c>
      <c r="M93" s="1" t="s">
        <v>365</v>
      </c>
      <c r="N93" s="1">
        <v>2</v>
      </c>
    </row>
    <row r="94" spans="1:14" x14ac:dyDescent="0.25">
      <c r="A94" s="1" t="s">
        <v>11</v>
      </c>
      <c r="B94" s="1">
        <v>5</v>
      </c>
      <c r="C94" s="1">
        <v>10</v>
      </c>
      <c r="D94" s="1" t="s">
        <v>8</v>
      </c>
      <c r="E94" s="1" t="s">
        <v>325</v>
      </c>
      <c r="F94" s="1" t="s">
        <v>366</v>
      </c>
      <c r="G94" s="1">
        <v>7</v>
      </c>
      <c r="H94" s="1" t="s">
        <v>367</v>
      </c>
      <c r="I94" s="1">
        <v>7</v>
      </c>
      <c r="J94" s="1" t="s">
        <v>368</v>
      </c>
      <c r="K94" s="1">
        <v>10</v>
      </c>
      <c r="L94" s="1">
        <v>10</v>
      </c>
      <c r="M94" s="1" t="s">
        <v>369</v>
      </c>
      <c r="N94" s="1">
        <v>10</v>
      </c>
    </row>
    <row r="95" spans="1:14" x14ac:dyDescent="0.25">
      <c r="A95" s="1" t="s">
        <v>16</v>
      </c>
      <c r="B95" s="1">
        <v>5</v>
      </c>
      <c r="C95" s="1">
        <v>10</v>
      </c>
      <c r="D95" s="1" t="s">
        <v>1</v>
      </c>
      <c r="E95" s="1" t="s">
        <v>320</v>
      </c>
      <c r="F95" s="1" t="s">
        <v>370</v>
      </c>
      <c r="G95" s="1">
        <v>8</v>
      </c>
      <c r="H95" s="1" t="s">
        <v>371</v>
      </c>
      <c r="I95" s="1">
        <v>7</v>
      </c>
      <c r="J95" s="1" t="s">
        <v>372</v>
      </c>
      <c r="K95" s="1">
        <v>8</v>
      </c>
      <c r="L95" s="1">
        <v>10</v>
      </c>
      <c r="M95" s="1" t="s">
        <v>373</v>
      </c>
      <c r="N95" s="1">
        <v>10</v>
      </c>
    </row>
    <row r="96" spans="1:14" x14ac:dyDescent="0.25">
      <c r="A96" s="1" t="s">
        <v>21</v>
      </c>
      <c r="B96" s="1">
        <v>5</v>
      </c>
      <c r="C96" s="1">
        <v>10</v>
      </c>
      <c r="D96" s="1" t="s">
        <v>8</v>
      </c>
      <c r="E96" s="1" t="s">
        <v>325</v>
      </c>
      <c r="F96" s="1" t="s">
        <v>374</v>
      </c>
      <c r="G96" s="1">
        <v>0</v>
      </c>
      <c r="H96" s="1" t="s">
        <v>375</v>
      </c>
      <c r="I96" s="1">
        <v>4</v>
      </c>
      <c r="J96" s="1" t="s">
        <v>161</v>
      </c>
      <c r="K96" s="1">
        <v>0</v>
      </c>
      <c r="L96" s="1">
        <v>5</v>
      </c>
      <c r="M96" s="1" t="s">
        <v>376</v>
      </c>
      <c r="N96" s="1">
        <v>5</v>
      </c>
    </row>
    <row r="97" spans="1:14" x14ac:dyDescent="0.25">
      <c r="A97" s="1" t="s">
        <v>26</v>
      </c>
      <c r="B97" s="1">
        <v>5</v>
      </c>
      <c r="C97" s="1">
        <v>10</v>
      </c>
      <c r="D97" s="1" t="s">
        <v>1</v>
      </c>
      <c r="E97" s="1" t="s">
        <v>320</v>
      </c>
      <c r="F97" s="1" t="s">
        <v>377</v>
      </c>
      <c r="G97" s="1">
        <v>3</v>
      </c>
      <c r="H97" s="1" t="s">
        <v>378</v>
      </c>
      <c r="I97" s="1">
        <v>5</v>
      </c>
      <c r="J97" s="1" t="s">
        <v>379</v>
      </c>
      <c r="K97" s="1">
        <v>2</v>
      </c>
      <c r="L97" s="1">
        <v>6</v>
      </c>
      <c r="M97" s="1" t="s">
        <v>380</v>
      </c>
      <c r="N97" s="1">
        <v>3</v>
      </c>
    </row>
    <row r="98" spans="1:14" x14ac:dyDescent="0.25">
      <c r="A98" s="1" t="s">
        <v>31</v>
      </c>
      <c r="B98" s="1">
        <v>5</v>
      </c>
      <c r="C98" s="1">
        <v>10</v>
      </c>
      <c r="D98" s="1" t="s">
        <v>8</v>
      </c>
      <c r="E98" s="1" t="s">
        <v>325</v>
      </c>
      <c r="F98" s="1" t="s">
        <v>381</v>
      </c>
      <c r="G98" s="1">
        <v>5</v>
      </c>
      <c r="H98" s="1" t="s">
        <v>91</v>
      </c>
      <c r="I98" s="1">
        <v>5</v>
      </c>
      <c r="J98" s="1" t="s">
        <v>382</v>
      </c>
      <c r="K98" s="1">
        <v>3</v>
      </c>
      <c r="L98" s="1">
        <v>8</v>
      </c>
      <c r="M98" s="1" t="s">
        <v>383</v>
      </c>
      <c r="N98" s="1">
        <v>5</v>
      </c>
    </row>
    <row r="99" spans="1:14" x14ac:dyDescent="0.25">
      <c r="A99" s="1" t="s">
        <v>36</v>
      </c>
      <c r="B99" s="1">
        <v>5</v>
      </c>
      <c r="C99" s="1">
        <v>10</v>
      </c>
      <c r="D99" s="1" t="s">
        <v>1</v>
      </c>
      <c r="E99" s="1" t="s">
        <v>320</v>
      </c>
      <c r="F99" s="1" t="s">
        <v>384</v>
      </c>
      <c r="G99" s="1">
        <v>5</v>
      </c>
      <c r="H99" s="1" t="s">
        <v>385</v>
      </c>
      <c r="I99" s="1">
        <v>3</v>
      </c>
      <c r="J99" s="1" t="s">
        <v>386</v>
      </c>
      <c r="K99" s="1">
        <v>2</v>
      </c>
      <c r="L99" s="1">
        <v>10</v>
      </c>
      <c r="M99" s="1" t="s">
        <v>387</v>
      </c>
      <c r="N99" s="1">
        <v>10</v>
      </c>
    </row>
    <row r="100" spans="1:14" x14ac:dyDescent="0.25">
      <c r="A100" s="1" t="s">
        <v>41</v>
      </c>
      <c r="B100" s="1">
        <v>5</v>
      </c>
      <c r="C100" s="1">
        <v>10</v>
      </c>
      <c r="D100" s="1" t="s">
        <v>1</v>
      </c>
      <c r="E100" s="1" t="s">
        <v>320</v>
      </c>
      <c r="F100" s="1" t="s">
        <v>388</v>
      </c>
      <c r="G100" s="1">
        <v>3</v>
      </c>
      <c r="H100" s="1" t="s">
        <v>389</v>
      </c>
      <c r="I100" s="1">
        <v>3</v>
      </c>
      <c r="J100" s="1" t="s">
        <v>390</v>
      </c>
      <c r="K100" s="1">
        <v>0</v>
      </c>
      <c r="L100" s="1">
        <v>5</v>
      </c>
      <c r="M100" s="1" t="s">
        <v>391</v>
      </c>
      <c r="N100" s="1">
        <v>2</v>
      </c>
    </row>
    <row r="101" spans="1:14" x14ac:dyDescent="0.25">
      <c r="A101" s="1" t="s">
        <v>46</v>
      </c>
      <c r="B101" s="1">
        <v>5</v>
      </c>
      <c r="C101" s="1">
        <v>10</v>
      </c>
      <c r="D101" s="1" t="s">
        <v>8</v>
      </c>
      <c r="E101" s="1" t="s">
        <v>325</v>
      </c>
      <c r="F101" s="1" t="s">
        <v>392</v>
      </c>
      <c r="G101" s="1">
        <v>6</v>
      </c>
      <c r="H101" s="1" t="s">
        <v>393</v>
      </c>
      <c r="I101" s="1">
        <v>8</v>
      </c>
      <c r="J101" s="1" t="s">
        <v>87</v>
      </c>
      <c r="K101" s="1">
        <v>2</v>
      </c>
      <c r="L101" s="1">
        <v>6</v>
      </c>
      <c r="M101" s="1" t="s">
        <v>394</v>
      </c>
      <c r="N101" s="1">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election activeCell="D12" sqref="D12"/>
    </sheetView>
  </sheetViews>
  <sheetFormatPr defaultRowHeight="15" x14ac:dyDescent="0.25"/>
  <cols>
    <col min="1" max="1" width="13.28515625" bestFit="1" customWidth="1"/>
    <col min="2" max="2" width="10.28515625" bestFit="1" customWidth="1"/>
    <col min="3" max="3" width="11.140625" bestFit="1" customWidth="1"/>
    <col min="4" max="4" width="33.85546875" bestFit="1" customWidth="1"/>
    <col min="5" max="5" width="28.28515625" bestFit="1" customWidth="1"/>
    <col min="6" max="6" width="30.42578125" bestFit="1" customWidth="1"/>
    <col min="7" max="7" width="28.42578125" bestFit="1" customWidth="1"/>
    <col min="8" max="8" width="27" bestFit="1" customWidth="1"/>
  </cols>
  <sheetData>
    <row r="1" spans="1:8" x14ac:dyDescent="0.25">
      <c r="A1" s="1" t="s">
        <v>395</v>
      </c>
      <c r="B1" s="1" t="s">
        <v>398</v>
      </c>
      <c r="C1" s="1" t="s">
        <v>399</v>
      </c>
      <c r="D1" s="1" t="s">
        <v>400</v>
      </c>
      <c r="E1" s="1" t="s">
        <v>402</v>
      </c>
      <c r="F1" s="1" t="s">
        <v>404</v>
      </c>
      <c r="G1" s="1" t="s">
        <v>405</v>
      </c>
      <c r="H1" s="1" t="s">
        <v>406</v>
      </c>
    </row>
    <row r="2" spans="1:8" x14ac:dyDescent="0.25">
      <c r="A2" s="1" t="s">
        <v>0</v>
      </c>
      <c r="B2" s="1" t="s">
        <v>1</v>
      </c>
      <c r="C2" s="1" t="s">
        <v>2</v>
      </c>
      <c r="D2" s="1">
        <v>5</v>
      </c>
      <c r="E2" s="1">
        <v>3</v>
      </c>
      <c r="F2" s="1">
        <v>3</v>
      </c>
      <c r="G2" s="1">
        <v>7</v>
      </c>
      <c r="H2" s="1">
        <v>5</v>
      </c>
    </row>
    <row r="3" spans="1:8" x14ac:dyDescent="0.25">
      <c r="A3" s="1" t="s">
        <v>0</v>
      </c>
      <c r="B3" s="1" t="s">
        <v>8</v>
      </c>
      <c r="C3" s="1" t="s">
        <v>9</v>
      </c>
      <c r="D3" s="1">
        <v>8</v>
      </c>
      <c r="E3" s="1">
        <v>7</v>
      </c>
      <c r="F3" s="1">
        <v>6</v>
      </c>
      <c r="G3" s="1">
        <v>5</v>
      </c>
      <c r="H3" s="1">
        <v>10</v>
      </c>
    </row>
    <row r="4" spans="1:8" x14ac:dyDescent="0.25">
      <c r="A4" s="1" t="s">
        <v>0</v>
      </c>
      <c r="B4" s="1" t="s">
        <v>8</v>
      </c>
      <c r="C4" s="1" t="s">
        <v>89</v>
      </c>
      <c r="D4" s="1">
        <v>8</v>
      </c>
      <c r="E4" s="1">
        <v>10</v>
      </c>
      <c r="F4" s="1">
        <v>3</v>
      </c>
      <c r="G4" s="1">
        <v>10</v>
      </c>
      <c r="H4" s="1">
        <v>10</v>
      </c>
    </row>
    <row r="5" spans="1:8" x14ac:dyDescent="0.25">
      <c r="A5" s="1" t="s">
        <v>0</v>
      </c>
      <c r="B5" s="1" t="s">
        <v>1</v>
      </c>
      <c r="C5" s="1" t="s">
        <v>94</v>
      </c>
      <c r="D5" s="1">
        <v>0</v>
      </c>
      <c r="E5" s="1">
        <v>0</v>
      </c>
      <c r="F5" s="1">
        <v>0</v>
      </c>
      <c r="G5" s="1">
        <v>0</v>
      </c>
      <c r="H5" s="1">
        <v>0</v>
      </c>
    </row>
    <row r="6" spans="1:8" x14ac:dyDescent="0.25">
      <c r="A6" s="1" t="s">
        <v>0</v>
      </c>
      <c r="B6" s="1" t="s">
        <v>1</v>
      </c>
      <c r="C6" s="1" t="s">
        <v>167</v>
      </c>
      <c r="D6" s="1">
        <v>5</v>
      </c>
      <c r="E6" s="1">
        <v>7</v>
      </c>
      <c r="F6" s="1">
        <v>4</v>
      </c>
      <c r="G6" s="1">
        <v>3</v>
      </c>
      <c r="H6" s="1">
        <v>10</v>
      </c>
    </row>
    <row r="7" spans="1:8" x14ac:dyDescent="0.25">
      <c r="A7" s="1" t="s">
        <v>0</v>
      </c>
      <c r="B7" s="1" t="s">
        <v>8</v>
      </c>
      <c r="C7" s="1" t="s">
        <v>172</v>
      </c>
      <c r="D7" s="1">
        <v>7</v>
      </c>
      <c r="E7" s="1">
        <v>8</v>
      </c>
      <c r="F7" s="1">
        <v>4</v>
      </c>
      <c r="G7" s="1">
        <v>10</v>
      </c>
      <c r="H7" s="1">
        <v>10</v>
      </c>
    </row>
    <row r="8" spans="1:8" x14ac:dyDescent="0.25">
      <c r="A8" s="1" t="s">
        <v>0</v>
      </c>
      <c r="B8" s="1" t="s">
        <v>8</v>
      </c>
      <c r="C8" s="1" t="s">
        <v>243</v>
      </c>
      <c r="D8" s="1">
        <v>8</v>
      </c>
      <c r="E8" s="1">
        <v>8</v>
      </c>
      <c r="F8" s="1">
        <v>6</v>
      </c>
      <c r="G8" s="1">
        <v>10</v>
      </c>
      <c r="H8" s="1">
        <v>10</v>
      </c>
    </row>
    <row r="9" spans="1:8" x14ac:dyDescent="0.25">
      <c r="A9" s="1" t="s">
        <v>0</v>
      </c>
      <c r="B9" s="1" t="s">
        <v>1</v>
      </c>
      <c r="C9" s="1" t="s">
        <v>248</v>
      </c>
      <c r="D9" s="1">
        <v>3</v>
      </c>
      <c r="E9" s="1">
        <v>3</v>
      </c>
      <c r="F9" s="1">
        <v>4</v>
      </c>
      <c r="G9" s="1">
        <v>10</v>
      </c>
      <c r="H9" s="1">
        <v>10</v>
      </c>
    </row>
    <row r="10" spans="1:8" x14ac:dyDescent="0.25">
      <c r="A10" s="1" t="s">
        <v>0</v>
      </c>
      <c r="B10" s="1" t="s">
        <v>1</v>
      </c>
      <c r="C10" s="1" t="s">
        <v>320</v>
      </c>
      <c r="D10" s="1">
        <v>3</v>
      </c>
      <c r="E10" s="1">
        <v>3</v>
      </c>
      <c r="F10" s="1">
        <v>2</v>
      </c>
      <c r="G10" s="1">
        <v>2</v>
      </c>
      <c r="H10" s="1">
        <v>4</v>
      </c>
    </row>
    <row r="11" spans="1:8" x14ac:dyDescent="0.25">
      <c r="A11" s="1" t="s">
        <v>0</v>
      </c>
      <c r="B11" s="1" t="s">
        <v>8</v>
      </c>
      <c r="C11" s="1" t="s">
        <v>325</v>
      </c>
      <c r="D11" s="1">
        <v>3</v>
      </c>
      <c r="E11" s="1">
        <v>3</v>
      </c>
      <c r="F11" s="1">
        <v>5</v>
      </c>
      <c r="G11" s="1">
        <v>6</v>
      </c>
      <c r="H11" s="1">
        <v>8</v>
      </c>
    </row>
    <row r="12" spans="1:8" x14ac:dyDescent="0.25">
      <c r="A12" s="1" t="s">
        <v>7</v>
      </c>
      <c r="B12" s="1" t="s">
        <v>8</v>
      </c>
      <c r="C12" s="1" t="s">
        <v>9</v>
      </c>
      <c r="D12" s="1">
        <v>0</v>
      </c>
      <c r="E12" s="1">
        <v>0</v>
      </c>
      <c r="F12" s="1">
        <v>0</v>
      </c>
      <c r="G12" s="1">
        <v>0</v>
      </c>
      <c r="H12" s="1">
        <v>0</v>
      </c>
    </row>
    <row r="13" spans="1:8" x14ac:dyDescent="0.25">
      <c r="A13" s="1" t="s">
        <v>7</v>
      </c>
      <c r="B13" s="1" t="s">
        <v>1</v>
      </c>
      <c r="C13" s="1" t="s">
        <v>2</v>
      </c>
      <c r="D13" s="1">
        <v>8</v>
      </c>
      <c r="E13" s="1">
        <v>8</v>
      </c>
      <c r="F13" s="1">
        <v>7</v>
      </c>
      <c r="G13" s="1">
        <v>8</v>
      </c>
      <c r="H13" s="1">
        <v>10</v>
      </c>
    </row>
    <row r="14" spans="1:8" x14ac:dyDescent="0.25">
      <c r="A14" s="1" t="s">
        <v>7</v>
      </c>
      <c r="B14" s="1" t="s">
        <v>1</v>
      </c>
      <c r="C14" s="1" t="s">
        <v>94</v>
      </c>
      <c r="D14" s="1">
        <v>5</v>
      </c>
      <c r="E14" s="1">
        <v>8</v>
      </c>
      <c r="F14" s="1">
        <v>8</v>
      </c>
      <c r="G14" s="1">
        <v>10</v>
      </c>
      <c r="H14" s="1">
        <v>10</v>
      </c>
    </row>
    <row r="15" spans="1:8" x14ac:dyDescent="0.25">
      <c r="A15" s="1" t="s">
        <v>7</v>
      </c>
      <c r="B15" s="1" t="s">
        <v>8</v>
      </c>
      <c r="C15" s="1" t="s">
        <v>89</v>
      </c>
      <c r="D15" s="1">
        <v>0</v>
      </c>
      <c r="E15" s="1">
        <v>0</v>
      </c>
      <c r="F15" s="1">
        <v>0</v>
      </c>
      <c r="G15" s="1">
        <v>0</v>
      </c>
      <c r="H15" s="1">
        <v>0</v>
      </c>
    </row>
    <row r="16" spans="1:8" x14ac:dyDescent="0.25">
      <c r="A16" s="1" t="s">
        <v>7</v>
      </c>
      <c r="B16" s="1" t="s">
        <v>8</v>
      </c>
      <c r="C16" s="1" t="s">
        <v>172</v>
      </c>
      <c r="D16" s="1">
        <v>0</v>
      </c>
      <c r="E16" s="1">
        <v>0</v>
      </c>
      <c r="F16" s="1">
        <v>0</v>
      </c>
      <c r="G16" s="1">
        <v>0</v>
      </c>
      <c r="H16" s="1">
        <v>0</v>
      </c>
    </row>
    <row r="17" spans="1:8" x14ac:dyDescent="0.25">
      <c r="A17" s="1" t="s">
        <v>7</v>
      </c>
      <c r="B17" s="1" t="s">
        <v>1</v>
      </c>
      <c r="C17" s="1" t="s">
        <v>167</v>
      </c>
      <c r="D17" s="1">
        <v>3</v>
      </c>
      <c r="E17" s="1">
        <v>3</v>
      </c>
      <c r="F17" s="1">
        <v>10</v>
      </c>
      <c r="G17" s="1">
        <v>10</v>
      </c>
      <c r="H17" s="1">
        <v>10</v>
      </c>
    </row>
    <row r="18" spans="1:8" x14ac:dyDescent="0.25">
      <c r="A18" s="1" t="s">
        <v>7</v>
      </c>
      <c r="B18" s="1" t="s">
        <v>1</v>
      </c>
      <c r="C18" s="1" t="s">
        <v>248</v>
      </c>
      <c r="D18" s="1">
        <v>8</v>
      </c>
      <c r="E18" s="1">
        <v>8</v>
      </c>
      <c r="F18" s="1">
        <v>8</v>
      </c>
      <c r="G18" s="1">
        <v>10</v>
      </c>
      <c r="H18" s="1">
        <v>10</v>
      </c>
    </row>
    <row r="19" spans="1:8" x14ac:dyDescent="0.25">
      <c r="A19" s="1" t="s">
        <v>7</v>
      </c>
      <c r="B19" s="1" t="s">
        <v>8</v>
      </c>
      <c r="C19" s="1" t="s">
        <v>243</v>
      </c>
      <c r="D19" s="1">
        <v>0</v>
      </c>
      <c r="E19" s="1">
        <v>0</v>
      </c>
      <c r="F19" s="1">
        <v>0</v>
      </c>
      <c r="G19" s="1">
        <v>0</v>
      </c>
      <c r="H19" s="1">
        <v>0</v>
      </c>
    </row>
    <row r="20" spans="1:8" x14ac:dyDescent="0.25">
      <c r="A20" s="1" t="s">
        <v>7</v>
      </c>
      <c r="B20" s="1" t="s">
        <v>8</v>
      </c>
      <c r="C20" s="1" t="s">
        <v>325</v>
      </c>
      <c r="D20" s="1">
        <v>0</v>
      </c>
      <c r="E20" s="1">
        <v>0</v>
      </c>
      <c r="F20" s="1">
        <v>0</v>
      </c>
      <c r="G20" s="1">
        <v>0</v>
      </c>
      <c r="H20" s="1">
        <v>0</v>
      </c>
    </row>
    <row r="21" spans="1:8" x14ac:dyDescent="0.25">
      <c r="A21" s="1" t="s">
        <v>7</v>
      </c>
      <c r="B21" s="1" t="s">
        <v>1</v>
      </c>
      <c r="C21" s="1" t="s">
        <v>320</v>
      </c>
      <c r="D21" s="1">
        <v>4</v>
      </c>
      <c r="E21" s="1">
        <v>3</v>
      </c>
      <c r="F21" s="1">
        <v>3</v>
      </c>
      <c r="G21" s="1">
        <v>9</v>
      </c>
      <c r="H21" s="1">
        <v>2</v>
      </c>
    </row>
    <row r="22" spans="1:8" x14ac:dyDescent="0.25">
      <c r="A22" s="1" t="s">
        <v>11</v>
      </c>
      <c r="B22" s="1" t="s">
        <v>1</v>
      </c>
      <c r="C22" s="1" t="s">
        <v>2</v>
      </c>
      <c r="D22" s="1">
        <v>9</v>
      </c>
      <c r="E22" s="1">
        <v>10</v>
      </c>
      <c r="F22" s="1">
        <v>8</v>
      </c>
      <c r="G22" s="1">
        <v>10</v>
      </c>
      <c r="H22" s="1">
        <v>9</v>
      </c>
    </row>
    <row r="23" spans="1:8" x14ac:dyDescent="0.25">
      <c r="A23" s="1" t="s">
        <v>11</v>
      </c>
      <c r="B23" s="1" t="s">
        <v>8</v>
      </c>
      <c r="C23" s="1" t="s">
        <v>9</v>
      </c>
      <c r="D23" s="1">
        <v>8</v>
      </c>
      <c r="E23" s="1">
        <v>10</v>
      </c>
      <c r="F23" s="1">
        <v>8</v>
      </c>
      <c r="G23" s="1">
        <v>0</v>
      </c>
      <c r="H23" s="1">
        <v>10</v>
      </c>
    </row>
    <row r="24" spans="1:8" x14ac:dyDescent="0.25">
      <c r="A24" s="1" t="s">
        <v>11</v>
      </c>
      <c r="B24" s="1" t="s">
        <v>8</v>
      </c>
      <c r="C24" s="1" t="s">
        <v>89</v>
      </c>
      <c r="D24" s="1">
        <v>10</v>
      </c>
      <c r="E24" s="1">
        <v>10</v>
      </c>
      <c r="F24" s="1">
        <v>8</v>
      </c>
      <c r="G24" s="1">
        <v>10</v>
      </c>
      <c r="H24" s="1">
        <v>10</v>
      </c>
    </row>
    <row r="25" spans="1:8" x14ac:dyDescent="0.25">
      <c r="A25" s="1" t="s">
        <v>11</v>
      </c>
      <c r="B25" s="1" t="s">
        <v>1</v>
      </c>
      <c r="C25" s="1" t="s">
        <v>94</v>
      </c>
      <c r="D25" s="1">
        <v>5</v>
      </c>
      <c r="E25" s="1">
        <v>3</v>
      </c>
      <c r="F25" s="1">
        <v>8</v>
      </c>
      <c r="G25" s="1">
        <v>8</v>
      </c>
      <c r="H25" s="1">
        <v>10</v>
      </c>
    </row>
    <row r="26" spans="1:8" x14ac:dyDescent="0.25">
      <c r="A26" s="1" t="s">
        <v>11</v>
      </c>
      <c r="B26" s="1" t="s">
        <v>1</v>
      </c>
      <c r="C26" s="1" t="s">
        <v>167</v>
      </c>
      <c r="D26" s="1">
        <v>5</v>
      </c>
      <c r="E26" s="1">
        <v>5</v>
      </c>
      <c r="F26" s="1">
        <v>6</v>
      </c>
      <c r="G26" s="1">
        <v>10</v>
      </c>
      <c r="H26" s="1">
        <v>10</v>
      </c>
    </row>
    <row r="27" spans="1:8" x14ac:dyDescent="0.25">
      <c r="A27" s="1" t="s">
        <v>11</v>
      </c>
      <c r="B27" s="1" t="s">
        <v>8</v>
      </c>
      <c r="C27" s="1" t="s">
        <v>172</v>
      </c>
      <c r="D27" s="1">
        <v>10</v>
      </c>
      <c r="E27" s="1">
        <v>10</v>
      </c>
      <c r="F27" s="1">
        <v>8</v>
      </c>
      <c r="G27" s="1">
        <v>2</v>
      </c>
      <c r="H27" s="1">
        <v>2</v>
      </c>
    </row>
    <row r="28" spans="1:8" x14ac:dyDescent="0.25">
      <c r="A28" s="1" t="s">
        <v>11</v>
      </c>
      <c r="B28" s="1" t="s">
        <v>8</v>
      </c>
      <c r="C28" s="1" t="s">
        <v>243</v>
      </c>
      <c r="D28" s="1">
        <v>2</v>
      </c>
      <c r="E28" s="1">
        <v>5</v>
      </c>
      <c r="F28" s="1">
        <v>2</v>
      </c>
      <c r="G28" s="1">
        <v>2</v>
      </c>
      <c r="H28" s="1">
        <v>2</v>
      </c>
    </row>
    <row r="29" spans="1:8" x14ac:dyDescent="0.25">
      <c r="A29" s="1" t="s">
        <v>11</v>
      </c>
      <c r="B29" s="1" t="s">
        <v>1</v>
      </c>
      <c r="C29" s="1" t="s">
        <v>248</v>
      </c>
      <c r="D29" s="1">
        <v>10</v>
      </c>
      <c r="E29" s="1">
        <v>10</v>
      </c>
      <c r="F29" s="1">
        <v>10</v>
      </c>
      <c r="G29" s="1">
        <v>10</v>
      </c>
      <c r="H29" s="1">
        <v>10</v>
      </c>
    </row>
    <row r="30" spans="1:8" x14ac:dyDescent="0.25">
      <c r="A30" s="1" t="s">
        <v>11</v>
      </c>
      <c r="B30" s="1" t="s">
        <v>1</v>
      </c>
      <c r="C30" s="1" t="s">
        <v>320</v>
      </c>
      <c r="D30" s="1">
        <v>4</v>
      </c>
      <c r="E30" s="1">
        <v>8</v>
      </c>
      <c r="F30" s="1">
        <v>10</v>
      </c>
      <c r="G30" s="1">
        <v>10</v>
      </c>
      <c r="H30" s="1">
        <v>8</v>
      </c>
    </row>
    <row r="31" spans="1:8" x14ac:dyDescent="0.25">
      <c r="A31" s="1" t="s">
        <v>11</v>
      </c>
      <c r="B31" s="1" t="s">
        <v>8</v>
      </c>
      <c r="C31" s="1" t="s">
        <v>325</v>
      </c>
      <c r="D31" s="1">
        <v>7</v>
      </c>
      <c r="E31" s="1">
        <v>7</v>
      </c>
      <c r="F31" s="1">
        <v>10</v>
      </c>
      <c r="G31" s="1">
        <v>10</v>
      </c>
      <c r="H31" s="1">
        <v>10</v>
      </c>
    </row>
    <row r="32" spans="1:8" x14ac:dyDescent="0.25">
      <c r="A32" s="1" t="s">
        <v>16</v>
      </c>
      <c r="B32" s="1" t="s">
        <v>8</v>
      </c>
      <c r="C32" s="1" t="s">
        <v>9</v>
      </c>
      <c r="D32" s="1">
        <v>7</v>
      </c>
      <c r="E32" s="1">
        <v>8</v>
      </c>
      <c r="F32" s="1">
        <v>10</v>
      </c>
      <c r="G32" s="1">
        <v>0</v>
      </c>
      <c r="H32" s="1">
        <v>0</v>
      </c>
    </row>
    <row r="33" spans="1:8" x14ac:dyDescent="0.25">
      <c r="A33" s="1" t="s">
        <v>16</v>
      </c>
      <c r="B33" s="1" t="s">
        <v>1</v>
      </c>
      <c r="C33" s="1" t="s">
        <v>2</v>
      </c>
      <c r="D33" s="1">
        <v>3</v>
      </c>
      <c r="E33" s="1">
        <v>4</v>
      </c>
      <c r="F33" s="1">
        <v>0</v>
      </c>
      <c r="G33" s="1">
        <v>8</v>
      </c>
      <c r="H33" s="1">
        <v>8</v>
      </c>
    </row>
    <row r="34" spans="1:8" x14ac:dyDescent="0.25">
      <c r="A34" s="1" t="s">
        <v>16</v>
      </c>
      <c r="B34" s="1" t="s">
        <v>1</v>
      </c>
      <c r="C34" s="1" t="s">
        <v>94</v>
      </c>
      <c r="D34" s="1">
        <v>5</v>
      </c>
      <c r="E34" s="1">
        <v>7</v>
      </c>
      <c r="F34" s="1">
        <v>7</v>
      </c>
      <c r="G34" s="1">
        <v>10</v>
      </c>
      <c r="H34" s="1">
        <v>10</v>
      </c>
    </row>
    <row r="35" spans="1:8" x14ac:dyDescent="0.25">
      <c r="A35" s="1" t="s">
        <v>16</v>
      </c>
      <c r="B35" s="1" t="s">
        <v>8</v>
      </c>
      <c r="C35" s="1" t="s">
        <v>89</v>
      </c>
      <c r="D35" s="1">
        <v>5</v>
      </c>
      <c r="E35" s="1">
        <v>8</v>
      </c>
      <c r="F35" s="1">
        <v>0</v>
      </c>
      <c r="G35" s="1">
        <v>8</v>
      </c>
      <c r="H35" s="1">
        <v>10</v>
      </c>
    </row>
    <row r="36" spans="1:8" x14ac:dyDescent="0.25">
      <c r="A36" s="1" t="s">
        <v>16</v>
      </c>
      <c r="B36" s="1" t="s">
        <v>8</v>
      </c>
      <c r="C36" s="1" t="s">
        <v>172</v>
      </c>
      <c r="D36" s="1">
        <v>8</v>
      </c>
      <c r="E36" s="1">
        <v>10</v>
      </c>
      <c r="F36" s="1">
        <v>7</v>
      </c>
      <c r="G36" s="1">
        <v>10</v>
      </c>
      <c r="H36" s="1">
        <v>7</v>
      </c>
    </row>
    <row r="37" spans="1:8" x14ac:dyDescent="0.25">
      <c r="A37" s="1" t="s">
        <v>16</v>
      </c>
      <c r="B37" s="1" t="s">
        <v>1</v>
      </c>
      <c r="C37" s="1" t="s">
        <v>167</v>
      </c>
      <c r="D37" s="1">
        <v>0</v>
      </c>
      <c r="E37" s="1">
        <v>0</v>
      </c>
      <c r="F37" s="1">
        <v>0</v>
      </c>
      <c r="G37" s="1">
        <v>0</v>
      </c>
      <c r="H37" s="1">
        <v>0</v>
      </c>
    </row>
    <row r="38" spans="1:8" x14ac:dyDescent="0.25">
      <c r="A38" s="1" t="s">
        <v>16</v>
      </c>
      <c r="B38" s="1" t="s">
        <v>1</v>
      </c>
      <c r="C38" s="1" t="s">
        <v>248</v>
      </c>
      <c r="D38" s="1">
        <v>9</v>
      </c>
      <c r="E38" s="1">
        <v>9</v>
      </c>
      <c r="F38" s="1">
        <v>0</v>
      </c>
      <c r="G38" s="1">
        <v>9</v>
      </c>
      <c r="H38" s="1">
        <v>2</v>
      </c>
    </row>
    <row r="39" spans="1:8" x14ac:dyDescent="0.25">
      <c r="A39" s="1" t="s">
        <v>16</v>
      </c>
      <c r="B39" s="1" t="s">
        <v>8</v>
      </c>
      <c r="C39" s="1" t="s">
        <v>243</v>
      </c>
      <c r="D39" s="1">
        <v>8</v>
      </c>
      <c r="E39" s="1">
        <v>8</v>
      </c>
      <c r="F39" s="1">
        <v>5</v>
      </c>
      <c r="G39" s="1">
        <v>3</v>
      </c>
      <c r="H39" s="1">
        <v>10</v>
      </c>
    </row>
    <row r="40" spans="1:8" x14ac:dyDescent="0.25">
      <c r="A40" s="1" t="s">
        <v>16</v>
      </c>
      <c r="B40" s="1" t="s">
        <v>8</v>
      </c>
      <c r="C40" s="1" t="s">
        <v>325</v>
      </c>
      <c r="D40" s="1">
        <v>5</v>
      </c>
      <c r="E40" s="1">
        <v>5</v>
      </c>
      <c r="F40" s="1">
        <v>2</v>
      </c>
      <c r="G40" s="1">
        <v>4</v>
      </c>
      <c r="H40" s="1">
        <v>2</v>
      </c>
    </row>
    <row r="41" spans="1:8" x14ac:dyDescent="0.25">
      <c r="A41" s="1" t="s">
        <v>16</v>
      </c>
      <c r="B41" s="1" t="s">
        <v>1</v>
      </c>
      <c r="C41" s="1" t="s">
        <v>320</v>
      </c>
      <c r="D41" s="1">
        <v>8</v>
      </c>
      <c r="E41" s="1">
        <v>7</v>
      </c>
      <c r="F41" s="1">
        <v>8</v>
      </c>
      <c r="G41" s="1">
        <v>10</v>
      </c>
      <c r="H41" s="1">
        <v>10</v>
      </c>
    </row>
    <row r="42" spans="1:8" x14ac:dyDescent="0.25">
      <c r="A42" s="1" t="s">
        <v>21</v>
      </c>
      <c r="B42" s="1" t="s">
        <v>1</v>
      </c>
      <c r="C42" s="1" t="s">
        <v>2</v>
      </c>
      <c r="D42" s="1">
        <v>3</v>
      </c>
      <c r="E42" s="1">
        <v>8</v>
      </c>
      <c r="F42" s="1">
        <v>10</v>
      </c>
      <c r="G42" s="1">
        <v>10</v>
      </c>
      <c r="H42" s="1">
        <v>3</v>
      </c>
    </row>
    <row r="43" spans="1:8" x14ac:dyDescent="0.25">
      <c r="A43" s="1" t="s">
        <v>21</v>
      </c>
      <c r="B43" s="1" t="s">
        <v>8</v>
      </c>
      <c r="C43" s="1" t="s">
        <v>9</v>
      </c>
      <c r="D43" s="1">
        <v>7</v>
      </c>
      <c r="E43" s="1">
        <v>7</v>
      </c>
      <c r="F43" s="1">
        <v>10</v>
      </c>
      <c r="G43" s="1">
        <v>10</v>
      </c>
      <c r="H43" s="1">
        <v>10</v>
      </c>
    </row>
    <row r="44" spans="1:8" x14ac:dyDescent="0.25">
      <c r="A44" s="1" t="s">
        <v>21</v>
      </c>
      <c r="B44" s="1" t="s">
        <v>8</v>
      </c>
      <c r="C44" s="1" t="s">
        <v>89</v>
      </c>
      <c r="D44" s="1">
        <v>8</v>
      </c>
      <c r="E44" s="1">
        <v>10</v>
      </c>
      <c r="F44" s="1">
        <v>5</v>
      </c>
      <c r="G44" s="1">
        <v>0</v>
      </c>
      <c r="H44" s="1">
        <v>10</v>
      </c>
    </row>
    <row r="45" spans="1:8" x14ac:dyDescent="0.25">
      <c r="A45" s="1" t="s">
        <v>21</v>
      </c>
      <c r="B45" s="1" t="s">
        <v>1</v>
      </c>
      <c r="C45" s="1" t="s">
        <v>94</v>
      </c>
      <c r="D45" s="1">
        <v>0</v>
      </c>
      <c r="E45" s="1">
        <v>7</v>
      </c>
      <c r="F45" s="1">
        <v>5</v>
      </c>
      <c r="G45" s="1">
        <v>8</v>
      </c>
      <c r="H45" s="1">
        <v>10</v>
      </c>
    </row>
    <row r="46" spans="1:8" x14ac:dyDescent="0.25">
      <c r="A46" s="1" t="s">
        <v>21</v>
      </c>
      <c r="B46" s="1" t="s">
        <v>1</v>
      </c>
      <c r="C46" s="1" t="s">
        <v>167</v>
      </c>
      <c r="D46" s="1">
        <v>7</v>
      </c>
      <c r="E46" s="1">
        <v>7</v>
      </c>
      <c r="F46" s="1">
        <v>8</v>
      </c>
      <c r="G46" s="1">
        <v>10</v>
      </c>
      <c r="H46" s="1">
        <v>10</v>
      </c>
    </row>
    <row r="47" spans="1:8" x14ac:dyDescent="0.25">
      <c r="A47" s="1" t="s">
        <v>21</v>
      </c>
      <c r="B47" s="1" t="s">
        <v>8</v>
      </c>
      <c r="C47" s="1" t="s">
        <v>172</v>
      </c>
      <c r="D47" s="1">
        <v>3</v>
      </c>
      <c r="E47" s="1">
        <v>2</v>
      </c>
      <c r="F47" s="1">
        <v>7</v>
      </c>
      <c r="G47" s="1">
        <v>2</v>
      </c>
      <c r="H47" s="1">
        <v>3</v>
      </c>
    </row>
    <row r="48" spans="1:8" x14ac:dyDescent="0.25">
      <c r="A48" s="1" t="s">
        <v>21</v>
      </c>
      <c r="B48" s="1" t="s">
        <v>8</v>
      </c>
      <c r="C48" s="1" t="s">
        <v>243</v>
      </c>
      <c r="D48" s="1">
        <v>9</v>
      </c>
      <c r="E48" s="1">
        <v>8</v>
      </c>
      <c r="F48" s="1">
        <v>0</v>
      </c>
      <c r="G48" s="1">
        <v>8</v>
      </c>
      <c r="H48" s="1">
        <v>10</v>
      </c>
    </row>
    <row r="49" spans="1:8" x14ac:dyDescent="0.25">
      <c r="A49" s="1" t="s">
        <v>21</v>
      </c>
      <c r="B49" s="1" t="s">
        <v>1</v>
      </c>
      <c r="C49" s="1" t="s">
        <v>248</v>
      </c>
      <c r="D49" s="1">
        <v>7</v>
      </c>
      <c r="E49" s="1">
        <v>6</v>
      </c>
      <c r="F49" s="1">
        <v>10</v>
      </c>
      <c r="G49" s="1">
        <v>10</v>
      </c>
      <c r="H49" s="1">
        <v>8</v>
      </c>
    </row>
    <row r="50" spans="1:8" x14ac:dyDescent="0.25">
      <c r="A50" s="1" t="s">
        <v>21</v>
      </c>
      <c r="B50" s="1" t="s">
        <v>1</v>
      </c>
      <c r="C50" s="1" t="s">
        <v>320</v>
      </c>
      <c r="D50" s="1">
        <v>3</v>
      </c>
      <c r="E50" s="1">
        <v>4</v>
      </c>
      <c r="F50" s="1">
        <v>10</v>
      </c>
      <c r="G50" s="1">
        <v>10</v>
      </c>
      <c r="H50" s="1">
        <v>10</v>
      </c>
    </row>
    <row r="51" spans="1:8" x14ac:dyDescent="0.25">
      <c r="A51" s="1" t="s">
        <v>21</v>
      </c>
      <c r="B51" s="1" t="s">
        <v>8</v>
      </c>
      <c r="C51" s="1" t="s">
        <v>325</v>
      </c>
      <c r="D51" s="1">
        <v>0</v>
      </c>
      <c r="E51" s="1">
        <v>4</v>
      </c>
      <c r="F51" s="1">
        <v>0</v>
      </c>
      <c r="G51" s="1">
        <v>5</v>
      </c>
      <c r="H51" s="1">
        <v>5</v>
      </c>
    </row>
    <row r="52" spans="1:8" x14ac:dyDescent="0.25">
      <c r="A52" s="1" t="s">
        <v>26</v>
      </c>
      <c r="B52" s="1" t="s">
        <v>8</v>
      </c>
      <c r="C52" s="1" t="s">
        <v>9</v>
      </c>
      <c r="D52" s="1">
        <v>7</v>
      </c>
      <c r="E52" s="1">
        <v>8</v>
      </c>
      <c r="F52" s="1">
        <v>7</v>
      </c>
      <c r="G52" s="1">
        <v>0</v>
      </c>
      <c r="H52" s="1">
        <v>8</v>
      </c>
    </row>
    <row r="53" spans="1:8" x14ac:dyDescent="0.25">
      <c r="A53" s="1" t="s">
        <v>26</v>
      </c>
      <c r="B53" s="1" t="s">
        <v>1</v>
      </c>
      <c r="C53" s="1" t="s">
        <v>2</v>
      </c>
      <c r="D53" s="1">
        <v>5</v>
      </c>
      <c r="E53" s="1">
        <v>5</v>
      </c>
      <c r="F53" s="1">
        <v>2</v>
      </c>
      <c r="G53" s="1">
        <v>6</v>
      </c>
      <c r="H53" s="1">
        <v>8</v>
      </c>
    </row>
    <row r="54" spans="1:8" x14ac:dyDescent="0.25">
      <c r="A54" s="1" t="s">
        <v>26</v>
      </c>
      <c r="B54" s="1" t="s">
        <v>1</v>
      </c>
      <c r="C54" s="1" t="s">
        <v>94</v>
      </c>
      <c r="D54" s="1">
        <v>6</v>
      </c>
      <c r="E54" s="1">
        <v>6</v>
      </c>
      <c r="F54" s="1">
        <v>8</v>
      </c>
      <c r="G54" s="1">
        <v>10</v>
      </c>
      <c r="H54" s="1">
        <v>10</v>
      </c>
    </row>
    <row r="55" spans="1:8" x14ac:dyDescent="0.25">
      <c r="A55" s="1" t="s">
        <v>26</v>
      </c>
      <c r="B55" s="1" t="s">
        <v>8</v>
      </c>
      <c r="C55" s="1" t="s">
        <v>89</v>
      </c>
      <c r="D55" s="1">
        <v>10</v>
      </c>
      <c r="E55" s="1">
        <v>10</v>
      </c>
      <c r="F55" s="1">
        <v>8</v>
      </c>
      <c r="G55" s="1">
        <v>10</v>
      </c>
      <c r="H55" s="1">
        <v>10</v>
      </c>
    </row>
    <row r="56" spans="1:8" x14ac:dyDescent="0.25">
      <c r="A56" s="1" t="s">
        <v>26</v>
      </c>
      <c r="B56" s="1" t="s">
        <v>8</v>
      </c>
      <c r="C56" s="1" t="s">
        <v>172</v>
      </c>
      <c r="D56" s="1">
        <v>8</v>
      </c>
      <c r="E56" s="1">
        <v>8</v>
      </c>
      <c r="F56" s="1">
        <v>3</v>
      </c>
      <c r="G56" s="1">
        <v>5</v>
      </c>
      <c r="H56" s="1">
        <v>8</v>
      </c>
    </row>
    <row r="57" spans="1:8" x14ac:dyDescent="0.25">
      <c r="A57" s="1" t="s">
        <v>26</v>
      </c>
      <c r="B57" s="1" t="s">
        <v>1</v>
      </c>
      <c r="C57" s="1" t="s">
        <v>167</v>
      </c>
      <c r="D57" s="1">
        <v>3</v>
      </c>
      <c r="E57" s="1">
        <v>3</v>
      </c>
      <c r="F57" s="1">
        <v>8</v>
      </c>
      <c r="G57" s="1">
        <v>10</v>
      </c>
      <c r="H57" s="1">
        <v>10</v>
      </c>
    </row>
    <row r="58" spans="1:8" x14ac:dyDescent="0.25">
      <c r="A58" s="1" t="s">
        <v>26</v>
      </c>
      <c r="B58" s="1" t="s">
        <v>1</v>
      </c>
      <c r="C58" s="1" t="s">
        <v>248</v>
      </c>
      <c r="D58" s="1">
        <v>8</v>
      </c>
      <c r="E58" s="1">
        <v>7</v>
      </c>
      <c r="F58" s="1">
        <v>6</v>
      </c>
      <c r="G58" s="1">
        <v>9</v>
      </c>
      <c r="H58" s="1">
        <v>8</v>
      </c>
    </row>
    <row r="59" spans="1:8" x14ac:dyDescent="0.25">
      <c r="A59" s="1" t="s">
        <v>26</v>
      </c>
      <c r="B59" s="1" t="s">
        <v>8</v>
      </c>
      <c r="C59" s="1" t="s">
        <v>243</v>
      </c>
      <c r="D59" s="1">
        <v>10</v>
      </c>
      <c r="E59" s="1">
        <v>10</v>
      </c>
      <c r="F59" s="1">
        <v>7</v>
      </c>
      <c r="G59" s="1">
        <v>10</v>
      </c>
      <c r="H59" s="1">
        <v>7</v>
      </c>
    </row>
    <row r="60" spans="1:8" x14ac:dyDescent="0.25">
      <c r="A60" s="1" t="s">
        <v>26</v>
      </c>
      <c r="B60" s="1" t="s">
        <v>8</v>
      </c>
      <c r="C60" s="1" t="s">
        <v>325</v>
      </c>
      <c r="D60" s="1">
        <v>8</v>
      </c>
      <c r="E60" s="1">
        <v>10</v>
      </c>
      <c r="F60" s="1">
        <v>10</v>
      </c>
      <c r="G60" s="1">
        <v>4</v>
      </c>
      <c r="H60" s="1">
        <v>2</v>
      </c>
    </row>
    <row r="61" spans="1:8" x14ac:dyDescent="0.25">
      <c r="A61" s="1" t="s">
        <v>26</v>
      </c>
      <c r="B61" s="1" t="s">
        <v>1</v>
      </c>
      <c r="C61" s="1" t="s">
        <v>320</v>
      </c>
      <c r="D61" s="1">
        <v>3</v>
      </c>
      <c r="E61" s="1">
        <v>5</v>
      </c>
      <c r="F61" s="1">
        <v>2</v>
      </c>
      <c r="G61" s="1">
        <v>6</v>
      </c>
      <c r="H61" s="1">
        <v>3</v>
      </c>
    </row>
    <row r="62" spans="1:8" x14ac:dyDescent="0.25">
      <c r="A62" s="1" t="s">
        <v>31</v>
      </c>
      <c r="B62" s="1" t="s">
        <v>1</v>
      </c>
      <c r="C62" s="1" t="s">
        <v>2</v>
      </c>
      <c r="D62" s="1">
        <v>5</v>
      </c>
      <c r="E62" s="1">
        <v>3</v>
      </c>
      <c r="F62" s="1">
        <v>10</v>
      </c>
      <c r="G62" s="1">
        <v>10</v>
      </c>
      <c r="H62" s="1">
        <v>10</v>
      </c>
    </row>
    <row r="63" spans="1:8" x14ac:dyDescent="0.25">
      <c r="A63" s="1" t="s">
        <v>31</v>
      </c>
      <c r="B63" s="1" t="s">
        <v>8</v>
      </c>
      <c r="C63" s="1" t="s">
        <v>9</v>
      </c>
      <c r="D63" s="1">
        <v>0</v>
      </c>
      <c r="E63" s="1">
        <v>2</v>
      </c>
      <c r="F63" s="1">
        <v>10</v>
      </c>
      <c r="G63" s="1">
        <v>10</v>
      </c>
      <c r="H63" s="1">
        <v>0</v>
      </c>
    </row>
    <row r="64" spans="1:8" x14ac:dyDescent="0.25">
      <c r="A64" s="1" t="s">
        <v>31</v>
      </c>
      <c r="B64" s="1" t="s">
        <v>8</v>
      </c>
      <c r="C64" s="1" t="s">
        <v>89</v>
      </c>
      <c r="D64" s="1">
        <v>10</v>
      </c>
      <c r="E64" s="1">
        <v>0</v>
      </c>
      <c r="F64" s="1">
        <v>0</v>
      </c>
      <c r="G64" s="1">
        <v>8</v>
      </c>
      <c r="H64" s="1">
        <v>10</v>
      </c>
    </row>
    <row r="65" spans="1:8" x14ac:dyDescent="0.25">
      <c r="A65" s="1" t="s">
        <v>31</v>
      </c>
      <c r="B65" s="1" t="s">
        <v>1</v>
      </c>
      <c r="C65" s="1" t="s">
        <v>94</v>
      </c>
      <c r="D65" s="1">
        <v>5</v>
      </c>
      <c r="E65" s="1">
        <v>2</v>
      </c>
      <c r="F65" s="1">
        <v>8</v>
      </c>
      <c r="G65" s="1">
        <v>10</v>
      </c>
      <c r="H65" s="1">
        <v>10</v>
      </c>
    </row>
    <row r="66" spans="1:8" x14ac:dyDescent="0.25">
      <c r="A66" s="1" t="s">
        <v>31</v>
      </c>
      <c r="B66" s="1" t="s">
        <v>1</v>
      </c>
      <c r="C66" s="1" t="s">
        <v>167</v>
      </c>
      <c r="D66" s="1">
        <v>10</v>
      </c>
      <c r="E66" s="1">
        <v>5</v>
      </c>
      <c r="F66" s="1">
        <v>8</v>
      </c>
      <c r="G66" s="1">
        <v>10</v>
      </c>
      <c r="H66" s="1">
        <v>10</v>
      </c>
    </row>
    <row r="67" spans="1:8" x14ac:dyDescent="0.25">
      <c r="A67" s="1" t="s">
        <v>31</v>
      </c>
      <c r="B67" s="1" t="s">
        <v>8</v>
      </c>
      <c r="C67" s="1" t="s">
        <v>172</v>
      </c>
      <c r="D67" s="1">
        <v>8</v>
      </c>
      <c r="E67" s="1">
        <v>8</v>
      </c>
      <c r="F67" s="1">
        <v>0</v>
      </c>
      <c r="G67" s="1">
        <v>10</v>
      </c>
      <c r="H67" s="1">
        <v>10</v>
      </c>
    </row>
    <row r="68" spans="1:8" x14ac:dyDescent="0.25">
      <c r="A68" s="1" t="s">
        <v>31</v>
      </c>
      <c r="B68" s="1" t="s">
        <v>8</v>
      </c>
      <c r="C68" s="1" t="s">
        <v>243</v>
      </c>
      <c r="D68" s="1">
        <v>10</v>
      </c>
      <c r="E68" s="1">
        <v>2</v>
      </c>
      <c r="F68" s="1">
        <v>0</v>
      </c>
      <c r="G68" s="1">
        <v>7</v>
      </c>
      <c r="H68" s="1">
        <v>2</v>
      </c>
    </row>
    <row r="69" spans="1:8" x14ac:dyDescent="0.25">
      <c r="A69" s="1" t="s">
        <v>31</v>
      </c>
      <c r="B69" s="1" t="s">
        <v>1</v>
      </c>
      <c r="C69" s="1" t="s">
        <v>248</v>
      </c>
      <c r="D69" s="1">
        <v>6</v>
      </c>
      <c r="E69" s="1">
        <v>7</v>
      </c>
      <c r="F69" s="1">
        <v>7</v>
      </c>
      <c r="G69" s="1">
        <v>10</v>
      </c>
      <c r="H69" s="1">
        <v>10</v>
      </c>
    </row>
    <row r="70" spans="1:8" x14ac:dyDescent="0.25">
      <c r="A70" s="1" t="s">
        <v>31</v>
      </c>
      <c r="B70" s="1" t="s">
        <v>1</v>
      </c>
      <c r="C70" s="1" t="s">
        <v>320</v>
      </c>
      <c r="D70" s="1">
        <v>10</v>
      </c>
      <c r="E70" s="1">
        <v>10</v>
      </c>
      <c r="F70" s="1">
        <v>0</v>
      </c>
      <c r="G70" s="1">
        <v>3</v>
      </c>
      <c r="H70" s="1">
        <v>5</v>
      </c>
    </row>
    <row r="71" spans="1:8" x14ac:dyDescent="0.25">
      <c r="A71" s="1" t="s">
        <v>31</v>
      </c>
      <c r="B71" s="1" t="s">
        <v>8</v>
      </c>
      <c r="C71" s="1" t="s">
        <v>325</v>
      </c>
      <c r="D71" s="1">
        <v>5</v>
      </c>
      <c r="E71" s="1">
        <v>5</v>
      </c>
      <c r="F71" s="1">
        <v>3</v>
      </c>
      <c r="G71" s="1">
        <v>8</v>
      </c>
      <c r="H71" s="1">
        <v>5</v>
      </c>
    </row>
    <row r="72" spans="1:8" x14ac:dyDescent="0.25">
      <c r="A72" s="1" t="s">
        <v>36</v>
      </c>
      <c r="B72" s="1" t="s">
        <v>8</v>
      </c>
      <c r="C72" s="1" t="s">
        <v>9</v>
      </c>
      <c r="D72" s="1">
        <v>7</v>
      </c>
      <c r="E72" s="1">
        <v>8</v>
      </c>
      <c r="F72" s="1">
        <v>2</v>
      </c>
      <c r="G72" s="1">
        <v>2</v>
      </c>
      <c r="H72" s="1">
        <v>0</v>
      </c>
    </row>
    <row r="73" spans="1:8" x14ac:dyDescent="0.25">
      <c r="A73" s="1" t="s">
        <v>36</v>
      </c>
      <c r="B73" s="1" t="s">
        <v>1</v>
      </c>
      <c r="C73" s="1" t="s">
        <v>2</v>
      </c>
      <c r="D73" s="1">
        <v>5</v>
      </c>
      <c r="E73" s="1">
        <v>3</v>
      </c>
      <c r="F73" s="1">
        <v>3</v>
      </c>
      <c r="G73" s="1">
        <v>5</v>
      </c>
      <c r="H73" s="1">
        <v>5</v>
      </c>
    </row>
    <row r="74" spans="1:8" x14ac:dyDescent="0.25">
      <c r="A74" s="1" t="s">
        <v>36</v>
      </c>
      <c r="B74" s="1" t="s">
        <v>1</v>
      </c>
      <c r="C74" s="1" t="s">
        <v>94</v>
      </c>
      <c r="D74" s="1">
        <v>5</v>
      </c>
      <c r="E74" s="1">
        <v>3</v>
      </c>
      <c r="F74" s="1">
        <v>2</v>
      </c>
      <c r="G74" s="1">
        <v>2</v>
      </c>
      <c r="H74" s="1">
        <v>0</v>
      </c>
    </row>
    <row r="75" spans="1:8" x14ac:dyDescent="0.25">
      <c r="A75" s="1" t="s">
        <v>36</v>
      </c>
      <c r="B75" s="1" t="s">
        <v>8</v>
      </c>
      <c r="C75" s="1" t="s">
        <v>89</v>
      </c>
      <c r="D75" s="1">
        <v>0</v>
      </c>
      <c r="E75" s="1">
        <v>7</v>
      </c>
      <c r="F75" s="1">
        <v>8</v>
      </c>
      <c r="G75" s="1">
        <v>8</v>
      </c>
      <c r="H75" s="1">
        <v>10</v>
      </c>
    </row>
    <row r="76" spans="1:8" x14ac:dyDescent="0.25">
      <c r="A76" s="1" t="s">
        <v>36</v>
      </c>
      <c r="B76" s="1" t="s">
        <v>8</v>
      </c>
      <c r="C76" s="1" t="s">
        <v>172</v>
      </c>
      <c r="D76" s="1">
        <v>5</v>
      </c>
      <c r="E76" s="1">
        <v>8</v>
      </c>
      <c r="F76" s="1">
        <v>10</v>
      </c>
      <c r="G76" s="1">
        <v>10</v>
      </c>
      <c r="H76" s="1">
        <v>10</v>
      </c>
    </row>
    <row r="77" spans="1:8" x14ac:dyDescent="0.25">
      <c r="A77" s="1" t="s">
        <v>36</v>
      </c>
      <c r="B77" s="1" t="s">
        <v>1</v>
      </c>
      <c r="C77" s="1" t="s">
        <v>167</v>
      </c>
      <c r="D77" s="1">
        <v>10</v>
      </c>
      <c r="E77" s="1">
        <v>5</v>
      </c>
      <c r="F77" s="1">
        <v>5</v>
      </c>
      <c r="G77" s="1">
        <v>10</v>
      </c>
      <c r="H77" s="1">
        <v>6</v>
      </c>
    </row>
    <row r="78" spans="1:8" x14ac:dyDescent="0.25">
      <c r="A78" s="1" t="s">
        <v>36</v>
      </c>
      <c r="B78" s="1" t="s">
        <v>1</v>
      </c>
      <c r="C78" s="1" t="s">
        <v>248</v>
      </c>
      <c r="D78" s="1">
        <v>7</v>
      </c>
      <c r="E78" s="1">
        <v>8</v>
      </c>
      <c r="F78" s="1">
        <v>8</v>
      </c>
      <c r="G78" s="1">
        <v>10</v>
      </c>
      <c r="H78" s="1">
        <v>10</v>
      </c>
    </row>
    <row r="79" spans="1:8" x14ac:dyDescent="0.25">
      <c r="A79" s="1" t="s">
        <v>36</v>
      </c>
      <c r="B79" s="1" t="s">
        <v>8</v>
      </c>
      <c r="C79" s="1" t="s">
        <v>243</v>
      </c>
      <c r="D79" s="1">
        <v>9</v>
      </c>
      <c r="E79" s="1">
        <v>6</v>
      </c>
      <c r="F79" s="1">
        <v>10</v>
      </c>
      <c r="G79" s="1">
        <v>10</v>
      </c>
      <c r="H79" s="1">
        <v>10</v>
      </c>
    </row>
    <row r="80" spans="1:8" x14ac:dyDescent="0.25">
      <c r="A80" s="1" t="s">
        <v>36</v>
      </c>
      <c r="B80" s="1" t="s">
        <v>8</v>
      </c>
      <c r="C80" s="1" t="s">
        <v>325</v>
      </c>
      <c r="D80" s="1">
        <v>0</v>
      </c>
      <c r="E80" s="1">
        <v>2</v>
      </c>
      <c r="F80" s="1">
        <v>2</v>
      </c>
      <c r="G80" s="1">
        <v>2</v>
      </c>
      <c r="H80" s="1">
        <v>2</v>
      </c>
    </row>
    <row r="81" spans="1:8" x14ac:dyDescent="0.25">
      <c r="A81" s="1" t="s">
        <v>36</v>
      </c>
      <c r="B81" s="1" t="s">
        <v>1</v>
      </c>
      <c r="C81" s="1" t="s">
        <v>320</v>
      </c>
      <c r="D81" s="1">
        <v>5</v>
      </c>
      <c r="E81" s="1">
        <v>3</v>
      </c>
      <c r="F81" s="1">
        <v>2</v>
      </c>
      <c r="G81" s="1">
        <v>10</v>
      </c>
      <c r="H81" s="1">
        <v>10</v>
      </c>
    </row>
    <row r="82" spans="1:8" x14ac:dyDescent="0.25">
      <c r="A82" s="1" t="s">
        <v>41</v>
      </c>
      <c r="B82" s="1" t="s">
        <v>8</v>
      </c>
      <c r="C82" s="1" t="s">
        <v>9</v>
      </c>
      <c r="D82" s="1">
        <v>3</v>
      </c>
      <c r="E82" s="1">
        <v>0</v>
      </c>
      <c r="F82" s="1">
        <v>10</v>
      </c>
      <c r="G82" s="1">
        <v>6</v>
      </c>
      <c r="H82" s="1">
        <v>8</v>
      </c>
    </row>
    <row r="83" spans="1:8" x14ac:dyDescent="0.25">
      <c r="A83" s="1" t="s">
        <v>41</v>
      </c>
      <c r="B83" s="1" t="s">
        <v>1</v>
      </c>
      <c r="C83" s="1" t="s">
        <v>2</v>
      </c>
      <c r="D83" s="1">
        <v>8</v>
      </c>
      <c r="E83" s="1">
        <v>3</v>
      </c>
      <c r="F83" s="1">
        <v>10</v>
      </c>
      <c r="G83" s="1">
        <v>10</v>
      </c>
      <c r="H83" s="1">
        <v>5</v>
      </c>
    </row>
    <row r="84" spans="1:8" x14ac:dyDescent="0.25">
      <c r="A84" s="1" t="s">
        <v>41</v>
      </c>
      <c r="B84" s="1" t="s">
        <v>1</v>
      </c>
      <c r="C84" s="1" t="s">
        <v>94</v>
      </c>
      <c r="D84" s="1">
        <v>5</v>
      </c>
      <c r="E84" s="1">
        <v>7</v>
      </c>
      <c r="F84" s="1">
        <v>8</v>
      </c>
      <c r="G84" s="1">
        <v>10</v>
      </c>
      <c r="H84" s="1">
        <v>2</v>
      </c>
    </row>
    <row r="85" spans="1:8" x14ac:dyDescent="0.25">
      <c r="A85" s="1" t="s">
        <v>41</v>
      </c>
      <c r="B85" s="1" t="s">
        <v>8</v>
      </c>
      <c r="C85" s="1" t="s">
        <v>89</v>
      </c>
      <c r="D85" s="1">
        <v>3</v>
      </c>
      <c r="E85" s="1">
        <v>3</v>
      </c>
      <c r="F85" s="1">
        <v>8</v>
      </c>
      <c r="G85" s="1">
        <v>10</v>
      </c>
      <c r="H85" s="1">
        <v>10</v>
      </c>
    </row>
    <row r="86" spans="1:8" x14ac:dyDescent="0.25">
      <c r="A86" s="1" t="s">
        <v>41</v>
      </c>
      <c r="B86" s="1" t="s">
        <v>8</v>
      </c>
      <c r="C86" s="1" t="s">
        <v>172</v>
      </c>
      <c r="D86" s="1">
        <v>10</v>
      </c>
      <c r="E86" s="1">
        <v>5</v>
      </c>
      <c r="F86" s="1">
        <v>10</v>
      </c>
      <c r="G86" s="1">
        <v>10</v>
      </c>
      <c r="H86" s="1">
        <v>10</v>
      </c>
    </row>
    <row r="87" spans="1:8" x14ac:dyDescent="0.25">
      <c r="A87" s="1" t="s">
        <v>41</v>
      </c>
      <c r="B87" s="1" t="s">
        <v>1</v>
      </c>
      <c r="C87" s="1" t="s">
        <v>167</v>
      </c>
      <c r="D87" s="1">
        <v>10</v>
      </c>
      <c r="E87" s="1">
        <v>10</v>
      </c>
      <c r="F87" s="1">
        <v>10</v>
      </c>
      <c r="G87" s="1">
        <v>10</v>
      </c>
      <c r="H87" s="1">
        <v>8</v>
      </c>
    </row>
    <row r="88" spans="1:8" x14ac:dyDescent="0.25">
      <c r="A88" s="1" t="s">
        <v>41</v>
      </c>
      <c r="B88" s="1" t="s">
        <v>1</v>
      </c>
      <c r="C88" s="1" t="s">
        <v>248</v>
      </c>
      <c r="D88" s="1">
        <v>9</v>
      </c>
      <c r="E88" s="1">
        <v>9</v>
      </c>
      <c r="F88" s="1">
        <v>0</v>
      </c>
      <c r="G88" s="1">
        <v>7</v>
      </c>
      <c r="H88" s="1">
        <v>9</v>
      </c>
    </row>
    <row r="89" spans="1:8" x14ac:dyDescent="0.25">
      <c r="A89" s="1" t="s">
        <v>41</v>
      </c>
      <c r="B89" s="1" t="s">
        <v>8</v>
      </c>
      <c r="C89" s="1" t="s">
        <v>243</v>
      </c>
      <c r="D89" s="1">
        <v>10</v>
      </c>
      <c r="E89" s="1">
        <v>10</v>
      </c>
      <c r="F89" s="1">
        <v>0</v>
      </c>
      <c r="G89" s="1">
        <v>2</v>
      </c>
      <c r="H89" s="1">
        <v>2</v>
      </c>
    </row>
    <row r="90" spans="1:8" x14ac:dyDescent="0.25">
      <c r="A90" s="1" t="s">
        <v>41</v>
      </c>
      <c r="B90" s="1" t="s">
        <v>8</v>
      </c>
      <c r="C90" s="1" t="s">
        <v>325</v>
      </c>
      <c r="D90" s="1">
        <v>6</v>
      </c>
      <c r="E90" s="1">
        <v>0</v>
      </c>
      <c r="F90" s="1">
        <v>0</v>
      </c>
      <c r="G90" s="1">
        <v>4</v>
      </c>
      <c r="H90" s="1">
        <v>2</v>
      </c>
    </row>
    <row r="91" spans="1:8" x14ac:dyDescent="0.25">
      <c r="A91" s="1" t="s">
        <v>41</v>
      </c>
      <c r="B91" s="1" t="s">
        <v>1</v>
      </c>
      <c r="C91" s="1" t="s">
        <v>320</v>
      </c>
      <c r="D91" s="1">
        <v>3</v>
      </c>
      <c r="E91" s="1">
        <v>3</v>
      </c>
      <c r="F91" s="1">
        <v>0</v>
      </c>
      <c r="G91" s="1">
        <v>5</v>
      </c>
      <c r="H91" s="1">
        <v>2</v>
      </c>
    </row>
    <row r="92" spans="1:8" x14ac:dyDescent="0.25">
      <c r="A92" s="1" t="s">
        <v>46</v>
      </c>
      <c r="B92" s="1" t="s">
        <v>1</v>
      </c>
      <c r="C92" s="1" t="s">
        <v>2</v>
      </c>
      <c r="D92" s="1">
        <v>3</v>
      </c>
      <c r="E92" s="1">
        <v>3</v>
      </c>
      <c r="F92" s="1">
        <v>3</v>
      </c>
      <c r="G92" s="1">
        <v>10</v>
      </c>
      <c r="H92" s="1">
        <v>3</v>
      </c>
    </row>
    <row r="93" spans="1:8" x14ac:dyDescent="0.25">
      <c r="A93" s="1" t="s">
        <v>46</v>
      </c>
      <c r="B93" s="1" t="s">
        <v>8</v>
      </c>
      <c r="C93" s="1" t="s">
        <v>9</v>
      </c>
      <c r="D93" s="1">
        <v>7</v>
      </c>
      <c r="E93" s="1">
        <v>5</v>
      </c>
      <c r="F93" s="1">
        <v>5</v>
      </c>
      <c r="G93" s="1">
        <v>7</v>
      </c>
      <c r="H93" s="1">
        <v>8</v>
      </c>
    </row>
    <row r="94" spans="1:8" x14ac:dyDescent="0.25">
      <c r="A94" s="1" t="s">
        <v>46</v>
      </c>
      <c r="B94" s="1" t="s">
        <v>8</v>
      </c>
      <c r="C94" s="1" t="s">
        <v>89</v>
      </c>
      <c r="D94" s="1">
        <v>10</v>
      </c>
      <c r="E94" s="1">
        <v>10</v>
      </c>
      <c r="F94" s="1">
        <v>8</v>
      </c>
      <c r="G94" s="1">
        <v>10</v>
      </c>
      <c r="H94" s="1">
        <v>10</v>
      </c>
    </row>
    <row r="95" spans="1:8" x14ac:dyDescent="0.25">
      <c r="A95" s="1" t="s">
        <v>46</v>
      </c>
      <c r="B95" s="1" t="s">
        <v>1</v>
      </c>
      <c r="C95" s="1" t="s">
        <v>94</v>
      </c>
      <c r="D95" s="1">
        <v>8</v>
      </c>
      <c r="E95" s="1">
        <v>7</v>
      </c>
      <c r="F95" s="1">
        <v>3</v>
      </c>
      <c r="G95" s="1">
        <v>7</v>
      </c>
      <c r="H95" s="1">
        <v>0</v>
      </c>
    </row>
    <row r="96" spans="1:8" x14ac:dyDescent="0.25">
      <c r="A96" s="1" t="s">
        <v>46</v>
      </c>
      <c r="B96" s="1" t="s">
        <v>1</v>
      </c>
      <c r="C96" s="1" t="s">
        <v>167</v>
      </c>
      <c r="D96" s="1">
        <v>6</v>
      </c>
      <c r="E96" s="1">
        <v>6</v>
      </c>
      <c r="F96" s="1">
        <v>5</v>
      </c>
      <c r="G96" s="1">
        <v>8</v>
      </c>
      <c r="H96" s="1">
        <v>0</v>
      </c>
    </row>
    <row r="97" spans="1:8" x14ac:dyDescent="0.25">
      <c r="A97" s="1" t="s">
        <v>46</v>
      </c>
      <c r="B97" s="1" t="s">
        <v>8</v>
      </c>
      <c r="C97" s="1" t="s">
        <v>172</v>
      </c>
      <c r="D97" s="1">
        <v>7</v>
      </c>
      <c r="E97" s="1">
        <v>3</v>
      </c>
      <c r="F97" s="1">
        <v>8</v>
      </c>
      <c r="G97" s="1">
        <v>0</v>
      </c>
      <c r="H97" s="1">
        <v>6</v>
      </c>
    </row>
    <row r="98" spans="1:8" x14ac:dyDescent="0.25">
      <c r="A98" s="1" t="s">
        <v>46</v>
      </c>
      <c r="B98" s="1" t="s">
        <v>8</v>
      </c>
      <c r="C98" s="1" t="s">
        <v>243</v>
      </c>
      <c r="D98" s="1">
        <v>8</v>
      </c>
      <c r="E98" s="1">
        <v>2</v>
      </c>
      <c r="F98" s="1">
        <v>10</v>
      </c>
      <c r="G98" s="1">
        <v>10</v>
      </c>
      <c r="H98" s="1">
        <v>5</v>
      </c>
    </row>
    <row r="99" spans="1:8" x14ac:dyDescent="0.25">
      <c r="A99" s="1" t="s">
        <v>46</v>
      </c>
      <c r="B99" s="1" t="s">
        <v>1</v>
      </c>
      <c r="C99" s="1" t="s">
        <v>248</v>
      </c>
      <c r="D99" s="1">
        <v>6</v>
      </c>
      <c r="E99" s="1">
        <v>6</v>
      </c>
      <c r="F99" s="1">
        <v>6</v>
      </c>
      <c r="G99" s="1">
        <v>10</v>
      </c>
      <c r="H99" s="1">
        <v>10</v>
      </c>
    </row>
    <row r="100" spans="1:8" x14ac:dyDescent="0.25">
      <c r="A100" s="1" t="s">
        <v>46</v>
      </c>
      <c r="B100" s="1" t="s">
        <v>1</v>
      </c>
      <c r="C100" s="1" t="s">
        <v>320</v>
      </c>
      <c r="D100" s="1">
        <v>3</v>
      </c>
      <c r="E100" s="1">
        <v>3</v>
      </c>
      <c r="F100" s="1">
        <v>8</v>
      </c>
      <c r="G100" s="1">
        <v>10</v>
      </c>
      <c r="H100" s="1">
        <v>10</v>
      </c>
    </row>
    <row r="101" spans="1:8" x14ac:dyDescent="0.25">
      <c r="A101" s="1" t="s">
        <v>46</v>
      </c>
      <c r="B101" s="1" t="s">
        <v>8</v>
      </c>
      <c r="C101" s="1" t="s">
        <v>325</v>
      </c>
      <c r="D101" s="1">
        <v>6</v>
      </c>
      <c r="E101" s="1">
        <v>8</v>
      </c>
      <c r="F101" s="1">
        <v>2</v>
      </c>
      <c r="G101" s="1">
        <v>6</v>
      </c>
      <c r="H101" s="1">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1A713-D52D-43D3-A8C0-89596AEFFD4A}">
  <dimension ref="A1:AL101"/>
  <sheetViews>
    <sheetView topLeftCell="A27" workbookViewId="0">
      <selection activeCell="J67" sqref="J67"/>
    </sheetView>
  </sheetViews>
  <sheetFormatPr defaultRowHeight="15" x14ac:dyDescent="0.25"/>
  <cols>
    <col min="2" max="2" width="14.42578125" bestFit="1" customWidth="1"/>
    <col min="7" max="7" width="9.85546875" bestFit="1" customWidth="1"/>
    <col min="8" max="8" width="10.140625" bestFit="1" customWidth="1"/>
    <col min="9" max="9" width="11.28515625" bestFit="1" customWidth="1"/>
    <col min="10" max="10" width="11" bestFit="1" customWidth="1"/>
    <col min="11" max="11" width="10" bestFit="1" customWidth="1"/>
    <col min="13" max="13" width="9" bestFit="1" customWidth="1"/>
    <col min="14" max="14" width="9.28515625" bestFit="1" customWidth="1"/>
    <col min="15" max="15" width="12.140625" bestFit="1" customWidth="1"/>
    <col min="16" max="16" width="11.7109375" bestFit="1" customWidth="1"/>
    <col min="17" max="17" width="10.5703125" bestFit="1" customWidth="1"/>
    <col min="20" max="20" width="9.85546875" bestFit="1" customWidth="1"/>
    <col min="21" max="22" width="12.5703125" bestFit="1" customWidth="1"/>
    <col min="23" max="23" width="11.140625" bestFit="1" customWidth="1"/>
    <col min="25" max="25" width="9" customWidth="1"/>
    <col min="26" max="26" width="9.28515625" bestFit="1" customWidth="1"/>
    <col min="27" max="27" width="12.140625" bestFit="1" customWidth="1"/>
    <col min="28" max="28" width="11.7109375" bestFit="1" customWidth="1"/>
    <col min="29" max="29" width="10.5703125" bestFit="1" customWidth="1"/>
    <col min="30" max="30" width="12.5703125" bestFit="1" customWidth="1"/>
    <col min="32" max="32" width="8.85546875" bestFit="1" customWidth="1"/>
    <col min="33" max="33" width="12.140625" bestFit="1" customWidth="1"/>
    <col min="34" max="34" width="11.42578125" bestFit="1" customWidth="1"/>
    <col min="35" max="35" width="10.28515625" bestFit="1" customWidth="1"/>
  </cols>
  <sheetData>
    <row r="1" spans="1:38" ht="70.5" customHeight="1" x14ac:dyDescent="0.25">
      <c r="A1" s="2" t="s">
        <v>395</v>
      </c>
      <c r="B1" s="2" t="s">
        <v>407</v>
      </c>
      <c r="C1" s="2" t="s">
        <v>408</v>
      </c>
      <c r="D1" s="2" t="s">
        <v>396</v>
      </c>
      <c r="E1" s="2" t="s">
        <v>397</v>
      </c>
      <c r="F1" s="2" t="s">
        <v>400</v>
      </c>
      <c r="G1" s="3" t="s">
        <v>409</v>
      </c>
      <c r="H1" s="3" t="s">
        <v>410</v>
      </c>
      <c r="I1" s="3" t="s">
        <v>411</v>
      </c>
      <c r="J1" s="3" t="s">
        <v>412</v>
      </c>
      <c r="K1" s="3" t="s">
        <v>413</v>
      </c>
      <c r="L1" s="2" t="s">
        <v>414</v>
      </c>
      <c r="M1" s="3" t="s">
        <v>415</v>
      </c>
      <c r="N1" s="3" t="s">
        <v>416</v>
      </c>
      <c r="O1" s="3" t="s">
        <v>417</v>
      </c>
      <c r="P1" s="3" t="s">
        <v>418</v>
      </c>
      <c r="Q1" s="3" t="s">
        <v>419</v>
      </c>
      <c r="R1" s="2" t="s">
        <v>420</v>
      </c>
      <c r="S1" s="3" t="s">
        <v>421</v>
      </c>
      <c r="T1" s="3" t="s">
        <v>422</v>
      </c>
      <c r="U1" s="3" t="s">
        <v>423</v>
      </c>
      <c r="V1" s="3" t="s">
        <v>424</v>
      </c>
      <c r="W1" s="3" t="s">
        <v>425</v>
      </c>
      <c r="X1" s="2" t="s">
        <v>426</v>
      </c>
      <c r="Y1" s="3" t="s">
        <v>427</v>
      </c>
      <c r="Z1" s="3" t="s">
        <v>428</v>
      </c>
      <c r="AA1" s="3" t="s">
        <v>429</v>
      </c>
      <c r="AB1" s="3" t="s">
        <v>430</v>
      </c>
      <c r="AC1" s="3" t="s">
        <v>431</v>
      </c>
      <c r="AD1" s="2" t="s">
        <v>432</v>
      </c>
      <c r="AE1" s="3" t="s">
        <v>433</v>
      </c>
      <c r="AF1" s="3" t="s">
        <v>434</v>
      </c>
      <c r="AG1" s="3" t="s">
        <v>435</v>
      </c>
      <c r="AH1" s="3" t="s">
        <v>436</v>
      </c>
      <c r="AI1" s="3" t="s">
        <v>437</v>
      </c>
      <c r="AJ1" s="2" t="s">
        <v>438</v>
      </c>
      <c r="AK1" s="2" t="s">
        <v>439</v>
      </c>
      <c r="AL1" s="2" t="s">
        <v>440</v>
      </c>
    </row>
    <row r="2" spans="1:38" x14ac:dyDescent="0.25">
      <c r="A2" t="s">
        <v>0</v>
      </c>
      <c r="B2" t="s">
        <v>441</v>
      </c>
      <c r="C2" t="s">
        <v>9</v>
      </c>
      <c r="D2">
        <v>1</v>
      </c>
      <c r="E2">
        <v>2</v>
      </c>
      <c r="F2">
        <v>8</v>
      </c>
      <c r="L2">
        <v>7</v>
      </c>
      <c r="R2">
        <v>6</v>
      </c>
      <c r="X2">
        <v>5</v>
      </c>
      <c r="AD2">
        <v>10</v>
      </c>
      <c r="AJ2" s="1" t="s">
        <v>442</v>
      </c>
      <c r="AK2" s="1" t="s">
        <v>443</v>
      </c>
      <c r="AL2" s="1">
        <v>2</v>
      </c>
    </row>
    <row r="3" spans="1:38" x14ac:dyDescent="0.25">
      <c r="A3" t="s">
        <v>7</v>
      </c>
      <c r="B3" t="s">
        <v>441</v>
      </c>
      <c r="C3" t="s">
        <v>9</v>
      </c>
      <c r="D3">
        <v>1</v>
      </c>
      <c r="E3">
        <v>1</v>
      </c>
      <c r="F3">
        <v>7</v>
      </c>
      <c r="L3">
        <v>7</v>
      </c>
      <c r="R3">
        <v>6</v>
      </c>
      <c r="X3">
        <v>6</v>
      </c>
      <c r="AD3">
        <v>8</v>
      </c>
      <c r="AJ3" s="1" t="s">
        <v>442</v>
      </c>
      <c r="AK3" s="1" t="s">
        <v>443</v>
      </c>
      <c r="AL3" s="1">
        <v>1</v>
      </c>
    </row>
    <row r="4" spans="1:38" x14ac:dyDescent="0.25">
      <c r="A4" t="s">
        <v>11</v>
      </c>
      <c r="B4" t="s">
        <v>441</v>
      </c>
      <c r="C4" t="s">
        <v>9</v>
      </c>
      <c r="D4">
        <v>1</v>
      </c>
      <c r="E4">
        <v>2</v>
      </c>
      <c r="F4">
        <v>8</v>
      </c>
      <c r="L4">
        <v>10</v>
      </c>
      <c r="R4">
        <v>8</v>
      </c>
      <c r="X4">
        <v>0</v>
      </c>
      <c r="AD4">
        <v>10</v>
      </c>
      <c r="AJ4" s="1" t="s">
        <v>442</v>
      </c>
      <c r="AK4" s="1" t="s">
        <v>443</v>
      </c>
      <c r="AL4" s="1">
        <v>2</v>
      </c>
    </row>
    <row r="5" spans="1:38" x14ac:dyDescent="0.25">
      <c r="A5" t="s">
        <v>16</v>
      </c>
      <c r="B5" t="s">
        <v>441</v>
      </c>
      <c r="C5" t="s">
        <v>9</v>
      </c>
      <c r="D5">
        <v>1</v>
      </c>
      <c r="E5">
        <v>1</v>
      </c>
      <c r="F5">
        <v>7</v>
      </c>
      <c r="L5">
        <v>8</v>
      </c>
      <c r="R5">
        <v>10</v>
      </c>
      <c r="X5">
        <v>0</v>
      </c>
      <c r="AD5">
        <v>0</v>
      </c>
      <c r="AJ5" s="1" t="s">
        <v>442</v>
      </c>
      <c r="AK5" s="1" t="s">
        <v>443</v>
      </c>
      <c r="AL5" s="1">
        <v>1</v>
      </c>
    </row>
    <row r="6" spans="1:38" x14ac:dyDescent="0.25">
      <c r="A6" t="s">
        <v>21</v>
      </c>
      <c r="B6" t="s">
        <v>441</v>
      </c>
      <c r="C6" t="s">
        <v>9</v>
      </c>
      <c r="D6">
        <v>1</v>
      </c>
      <c r="E6">
        <v>2</v>
      </c>
      <c r="F6">
        <v>7</v>
      </c>
      <c r="L6">
        <v>7</v>
      </c>
      <c r="R6">
        <v>10</v>
      </c>
      <c r="X6">
        <v>10</v>
      </c>
      <c r="AD6">
        <v>10</v>
      </c>
      <c r="AJ6" s="1" t="s">
        <v>442</v>
      </c>
      <c r="AK6" s="1" t="s">
        <v>443</v>
      </c>
      <c r="AL6" s="1">
        <v>2</v>
      </c>
    </row>
    <row r="7" spans="1:38" x14ac:dyDescent="0.25">
      <c r="A7" t="s">
        <v>26</v>
      </c>
      <c r="B7" t="s">
        <v>441</v>
      </c>
      <c r="C7" t="s">
        <v>9</v>
      </c>
      <c r="D7">
        <v>1</v>
      </c>
      <c r="E7">
        <v>1</v>
      </c>
      <c r="F7">
        <v>7</v>
      </c>
      <c r="L7">
        <v>8</v>
      </c>
      <c r="R7">
        <v>7</v>
      </c>
      <c r="X7">
        <v>0</v>
      </c>
      <c r="AD7">
        <v>8</v>
      </c>
      <c r="AJ7" s="1" t="s">
        <v>442</v>
      </c>
      <c r="AK7" s="1" t="s">
        <v>443</v>
      </c>
      <c r="AL7" s="1">
        <v>1</v>
      </c>
    </row>
    <row r="8" spans="1:38" x14ac:dyDescent="0.25">
      <c r="A8" t="s">
        <v>31</v>
      </c>
      <c r="B8" t="s">
        <v>441</v>
      </c>
      <c r="C8" t="s">
        <v>9</v>
      </c>
      <c r="D8">
        <v>1</v>
      </c>
      <c r="E8">
        <v>2</v>
      </c>
      <c r="F8">
        <v>0</v>
      </c>
      <c r="L8">
        <v>2</v>
      </c>
      <c r="R8">
        <v>10</v>
      </c>
      <c r="X8">
        <v>10</v>
      </c>
      <c r="AD8">
        <v>0</v>
      </c>
      <c r="AJ8" s="1" t="s">
        <v>442</v>
      </c>
      <c r="AK8" s="1" t="s">
        <v>443</v>
      </c>
      <c r="AL8" s="1">
        <v>2</v>
      </c>
    </row>
    <row r="9" spans="1:38" x14ac:dyDescent="0.25">
      <c r="A9" t="s">
        <v>36</v>
      </c>
      <c r="B9" t="s">
        <v>441</v>
      </c>
      <c r="C9" t="s">
        <v>9</v>
      </c>
      <c r="D9">
        <v>1</v>
      </c>
      <c r="E9">
        <v>1</v>
      </c>
      <c r="F9">
        <v>7</v>
      </c>
      <c r="L9">
        <v>8</v>
      </c>
      <c r="R9">
        <v>2</v>
      </c>
      <c r="X9">
        <v>2</v>
      </c>
      <c r="AD9">
        <v>0</v>
      </c>
      <c r="AJ9" s="1" t="s">
        <v>442</v>
      </c>
      <c r="AK9" s="1" t="s">
        <v>443</v>
      </c>
      <c r="AL9" s="1">
        <v>1</v>
      </c>
    </row>
    <row r="10" spans="1:38" x14ac:dyDescent="0.25">
      <c r="A10" t="s">
        <v>41</v>
      </c>
      <c r="B10" t="s">
        <v>441</v>
      </c>
      <c r="C10" t="s">
        <v>9</v>
      </c>
      <c r="D10">
        <v>1</v>
      </c>
      <c r="E10">
        <v>1</v>
      </c>
      <c r="F10">
        <v>3</v>
      </c>
      <c r="L10">
        <v>0</v>
      </c>
      <c r="R10">
        <v>10</v>
      </c>
      <c r="X10">
        <v>6</v>
      </c>
      <c r="AD10">
        <v>8</v>
      </c>
      <c r="AJ10" s="1" t="s">
        <v>442</v>
      </c>
      <c r="AK10" s="1" t="s">
        <v>443</v>
      </c>
      <c r="AL10" s="1">
        <v>1</v>
      </c>
    </row>
    <row r="11" spans="1:38" x14ac:dyDescent="0.25">
      <c r="A11" t="s">
        <v>46</v>
      </c>
      <c r="B11" t="s">
        <v>441</v>
      </c>
      <c r="C11" t="s">
        <v>9</v>
      </c>
      <c r="D11">
        <v>1</v>
      </c>
      <c r="E11">
        <v>2</v>
      </c>
      <c r="F11">
        <v>7</v>
      </c>
      <c r="L11">
        <v>5</v>
      </c>
      <c r="R11">
        <v>5</v>
      </c>
      <c r="X11">
        <v>7</v>
      </c>
      <c r="AD11">
        <v>8</v>
      </c>
      <c r="AJ11" s="1" t="s">
        <v>442</v>
      </c>
      <c r="AK11" s="1" t="s">
        <v>443</v>
      </c>
      <c r="AL11" s="1">
        <v>2</v>
      </c>
    </row>
    <row r="12" spans="1:38" x14ac:dyDescent="0.25">
      <c r="A12" t="s">
        <v>0</v>
      </c>
      <c r="B12" t="s">
        <v>444</v>
      </c>
      <c r="C12" t="s">
        <v>2</v>
      </c>
      <c r="D12">
        <v>1</v>
      </c>
      <c r="E12">
        <v>1</v>
      </c>
      <c r="F12">
        <v>5</v>
      </c>
      <c r="G12">
        <v>400</v>
      </c>
      <c r="H12">
        <v>400</v>
      </c>
      <c r="I12">
        <v>1</v>
      </c>
      <c r="J12">
        <f>(1100/128000)*100</f>
        <v>0.85937500000000011</v>
      </c>
      <c r="K12">
        <v>2</v>
      </c>
      <c r="L12">
        <v>3</v>
      </c>
      <c r="M12">
        <v>6</v>
      </c>
      <c r="N12">
        <v>6</v>
      </c>
      <c r="O12">
        <v>1</v>
      </c>
      <c r="P12">
        <f>(1856/128000)*100</f>
        <v>1.4500000000000002</v>
      </c>
      <c r="Q12">
        <v>2</v>
      </c>
      <c r="R12">
        <v>3</v>
      </c>
      <c r="S12">
        <v>11</v>
      </c>
      <c r="T12">
        <v>11</v>
      </c>
      <c r="U12">
        <v>1</v>
      </c>
      <c r="V12">
        <f>(2667/128000)*100</f>
        <v>2.0835937499999999</v>
      </c>
      <c r="W12">
        <v>2</v>
      </c>
      <c r="X12">
        <v>7</v>
      </c>
      <c r="Y12">
        <v>6</v>
      </c>
      <c r="Z12">
        <v>6</v>
      </c>
      <c r="AA12">
        <v>1</v>
      </c>
      <c r="AB12">
        <f>(3573/128000)*100</f>
        <v>2.7914062500000001</v>
      </c>
      <c r="AC12">
        <v>3</v>
      </c>
      <c r="AD12">
        <v>5</v>
      </c>
      <c r="AE12">
        <v>0</v>
      </c>
      <c r="AF12">
        <v>0</v>
      </c>
      <c r="AG12">
        <v>0</v>
      </c>
      <c r="AH12">
        <f>(3573/128000)*100</f>
        <v>2.7914062500000001</v>
      </c>
      <c r="AI12">
        <v>0</v>
      </c>
      <c r="AJ12" s="1" t="s">
        <v>442</v>
      </c>
      <c r="AK12" s="1" t="s">
        <v>443</v>
      </c>
      <c r="AL12" s="1">
        <v>1</v>
      </c>
    </row>
    <row r="13" spans="1:38" x14ac:dyDescent="0.25">
      <c r="A13" t="s">
        <v>7</v>
      </c>
      <c r="B13" t="s">
        <v>444</v>
      </c>
      <c r="C13" t="s">
        <v>2</v>
      </c>
      <c r="D13">
        <v>1</v>
      </c>
      <c r="E13">
        <v>2</v>
      </c>
      <c r="F13">
        <v>8</v>
      </c>
      <c r="G13">
        <v>180</v>
      </c>
      <c r="H13">
        <v>180</v>
      </c>
      <c r="I13">
        <v>1</v>
      </c>
      <c r="J13">
        <f>(988/128000)*100</f>
        <v>0.77187499999999998</v>
      </c>
      <c r="K13">
        <v>2.5</v>
      </c>
      <c r="L13">
        <v>8</v>
      </c>
      <c r="M13">
        <v>0</v>
      </c>
      <c r="N13">
        <v>0</v>
      </c>
      <c r="O13">
        <v>0</v>
      </c>
      <c r="P13">
        <f>(988/128000)*100</f>
        <v>0.77187499999999998</v>
      </c>
      <c r="Q13">
        <v>0</v>
      </c>
      <c r="R13">
        <v>7</v>
      </c>
      <c r="S13">
        <v>0</v>
      </c>
      <c r="T13">
        <v>0</v>
      </c>
      <c r="U13">
        <v>0</v>
      </c>
      <c r="V13">
        <f>(988/128000)*100</f>
        <v>0.77187499999999998</v>
      </c>
      <c r="W13">
        <v>0</v>
      </c>
      <c r="X13">
        <v>8</v>
      </c>
      <c r="Y13">
        <v>0</v>
      </c>
      <c r="Z13">
        <v>0</v>
      </c>
      <c r="AA13">
        <v>0</v>
      </c>
      <c r="AB13">
        <f>((988+1653)/128000)*100</f>
        <v>2.0632812500000002</v>
      </c>
      <c r="AC13">
        <v>0</v>
      </c>
      <c r="AD13">
        <v>10</v>
      </c>
      <c r="AE13">
        <v>0</v>
      </c>
      <c r="AF13">
        <v>0</v>
      </c>
      <c r="AG13">
        <v>0</v>
      </c>
      <c r="AH13">
        <f>((988+1653+2497)/128000)*100</f>
        <v>4.0140624999999996</v>
      </c>
      <c r="AI13">
        <v>0</v>
      </c>
      <c r="AJ13" s="1" t="s">
        <v>442</v>
      </c>
      <c r="AK13" s="1" t="s">
        <v>443</v>
      </c>
      <c r="AL13" s="1">
        <v>2</v>
      </c>
    </row>
    <row r="14" spans="1:38" x14ac:dyDescent="0.25">
      <c r="A14" t="s">
        <v>11</v>
      </c>
      <c r="B14" t="s">
        <v>444</v>
      </c>
      <c r="C14" t="s">
        <v>2</v>
      </c>
      <c r="D14">
        <v>1</v>
      </c>
      <c r="E14">
        <v>1</v>
      </c>
      <c r="F14">
        <v>9</v>
      </c>
      <c r="G14">
        <v>402</v>
      </c>
      <c r="H14">
        <f>402+47</f>
        <v>449</v>
      </c>
      <c r="I14">
        <v>2</v>
      </c>
      <c r="J14">
        <f>(844/128000)*100</f>
        <v>0.65937499999999993</v>
      </c>
      <c r="K14">
        <v>2</v>
      </c>
      <c r="L14">
        <v>10</v>
      </c>
      <c r="M14">
        <v>10</v>
      </c>
      <c r="N14">
        <v>10</v>
      </c>
      <c r="O14">
        <v>1</v>
      </c>
      <c r="P14">
        <f>(1237/128000)*100</f>
        <v>0.96640625000000013</v>
      </c>
      <c r="Q14">
        <v>2</v>
      </c>
      <c r="R14">
        <v>8</v>
      </c>
      <c r="S14">
        <v>23</v>
      </c>
      <c r="T14">
        <f>23+22</f>
        <v>45</v>
      </c>
      <c r="U14">
        <v>2</v>
      </c>
      <c r="V14">
        <f>(1959/128000)*100</f>
        <v>1.53046875</v>
      </c>
      <c r="W14">
        <v>2</v>
      </c>
      <c r="X14">
        <v>10</v>
      </c>
      <c r="Y14">
        <v>29</v>
      </c>
      <c r="Z14">
        <v>29</v>
      </c>
      <c r="AA14">
        <v>1</v>
      </c>
      <c r="AB14">
        <f>(2656/128000)*100</f>
        <v>2.0750000000000002</v>
      </c>
      <c r="AC14">
        <v>2</v>
      </c>
      <c r="AD14">
        <v>9</v>
      </c>
      <c r="AE14">
        <v>34</v>
      </c>
      <c r="AF14">
        <v>34</v>
      </c>
      <c r="AG14">
        <v>1</v>
      </c>
      <c r="AH14">
        <f>(3168/128000)*100</f>
        <v>2.4750000000000001</v>
      </c>
      <c r="AI14">
        <v>2</v>
      </c>
      <c r="AJ14" s="1" t="s">
        <v>442</v>
      </c>
      <c r="AK14" s="1" t="s">
        <v>443</v>
      </c>
      <c r="AL14" s="1">
        <v>1</v>
      </c>
    </row>
    <row r="15" spans="1:38" x14ac:dyDescent="0.25">
      <c r="A15" t="s">
        <v>16</v>
      </c>
      <c r="B15" t="s">
        <v>444</v>
      </c>
      <c r="C15" t="s">
        <v>2</v>
      </c>
      <c r="D15">
        <v>1</v>
      </c>
      <c r="E15">
        <v>2</v>
      </c>
      <c r="F15">
        <v>3</v>
      </c>
      <c r="G15">
        <v>412</v>
      </c>
      <c r="H15">
        <f>412+9</f>
        <v>421</v>
      </c>
      <c r="I15">
        <v>2</v>
      </c>
      <c r="J15">
        <f>(1021/128000)*100</f>
        <v>0.79765624999999996</v>
      </c>
      <c r="K15">
        <v>2</v>
      </c>
      <c r="L15">
        <v>4</v>
      </c>
      <c r="M15">
        <v>8</v>
      </c>
      <c r="N15">
        <v>8</v>
      </c>
      <c r="O15">
        <v>1</v>
      </c>
      <c r="P15">
        <f>(1679/128000)*100</f>
        <v>1.31171875</v>
      </c>
      <c r="Q15">
        <v>2</v>
      </c>
      <c r="R15">
        <v>0</v>
      </c>
      <c r="S15">
        <v>9</v>
      </c>
      <c r="T15">
        <v>9</v>
      </c>
      <c r="U15">
        <v>1</v>
      </c>
      <c r="V15">
        <f>(2488/128000)*100</f>
        <v>1.9437500000000001</v>
      </c>
      <c r="W15">
        <v>2</v>
      </c>
      <c r="X15">
        <v>8</v>
      </c>
      <c r="Y15">
        <v>1</v>
      </c>
      <c r="Z15">
        <v>1</v>
      </c>
      <c r="AA15">
        <v>1</v>
      </c>
      <c r="AB15">
        <f>(3389/128000)*100</f>
        <v>2.6476562499999998</v>
      </c>
      <c r="AC15">
        <v>1</v>
      </c>
      <c r="AD15">
        <v>8</v>
      </c>
      <c r="AE15">
        <v>15</v>
      </c>
      <c r="AF15">
        <v>15</v>
      </c>
      <c r="AG15">
        <v>1</v>
      </c>
      <c r="AH15">
        <f>(4254/128000)*100</f>
        <v>3.3234374999999998</v>
      </c>
      <c r="AI15">
        <v>2</v>
      </c>
      <c r="AJ15" s="1" t="s">
        <v>442</v>
      </c>
      <c r="AK15" s="1" t="s">
        <v>443</v>
      </c>
      <c r="AL15" s="1">
        <v>2</v>
      </c>
    </row>
    <row r="16" spans="1:38" x14ac:dyDescent="0.25">
      <c r="A16" t="s">
        <v>21</v>
      </c>
      <c r="B16" t="s">
        <v>444</v>
      </c>
      <c r="C16" t="s">
        <v>2</v>
      </c>
      <c r="D16">
        <v>1</v>
      </c>
      <c r="E16">
        <v>1</v>
      </c>
      <c r="F16">
        <v>3</v>
      </c>
      <c r="G16">
        <v>374</v>
      </c>
      <c r="H16">
        <v>374</v>
      </c>
      <c r="I16">
        <v>1</v>
      </c>
      <c r="J16">
        <f>(874/128000)*100</f>
        <v>0.68281250000000004</v>
      </c>
      <c r="K16">
        <v>2</v>
      </c>
      <c r="L16">
        <v>8</v>
      </c>
      <c r="M16">
        <v>12</v>
      </c>
      <c r="N16">
        <v>12</v>
      </c>
      <c r="O16">
        <v>1</v>
      </c>
      <c r="P16">
        <f>(1436/128000)*100</f>
        <v>1.121875</v>
      </c>
      <c r="Q16">
        <v>2</v>
      </c>
      <c r="R16">
        <v>10</v>
      </c>
      <c r="S16">
        <v>40</v>
      </c>
      <c r="T16">
        <v>40</v>
      </c>
      <c r="U16">
        <v>1</v>
      </c>
      <c r="V16">
        <f>(2476/128000)*100</f>
        <v>1.934375</v>
      </c>
      <c r="W16">
        <v>2</v>
      </c>
      <c r="X16">
        <v>10</v>
      </c>
      <c r="Y16">
        <v>20</v>
      </c>
      <c r="Z16">
        <v>20</v>
      </c>
      <c r="AA16">
        <v>1</v>
      </c>
      <c r="AB16">
        <f>(2476/128000)*100</f>
        <v>1.934375</v>
      </c>
      <c r="AC16">
        <v>2</v>
      </c>
      <c r="AD16">
        <v>3</v>
      </c>
      <c r="AE16">
        <v>59</v>
      </c>
      <c r="AF16">
        <v>59</v>
      </c>
      <c r="AG16">
        <v>1</v>
      </c>
      <c r="AH16">
        <f>(3435/128000)*100</f>
        <v>2.68359375</v>
      </c>
      <c r="AI16">
        <v>2</v>
      </c>
      <c r="AJ16" s="1" t="s">
        <v>442</v>
      </c>
      <c r="AK16" s="1" t="s">
        <v>443</v>
      </c>
      <c r="AL16" s="1">
        <v>1</v>
      </c>
    </row>
    <row r="17" spans="1:38" x14ac:dyDescent="0.25">
      <c r="A17" t="s">
        <v>26</v>
      </c>
      <c r="B17" t="s">
        <v>444</v>
      </c>
      <c r="C17" t="s">
        <v>2</v>
      </c>
      <c r="D17">
        <v>1</v>
      </c>
      <c r="E17">
        <v>2</v>
      </c>
      <c r="F17">
        <v>5</v>
      </c>
      <c r="G17">
        <v>400</v>
      </c>
      <c r="H17">
        <v>400</v>
      </c>
      <c r="I17">
        <v>1</v>
      </c>
      <c r="J17">
        <f>(1100/128000)*100</f>
        <v>0.85937500000000011</v>
      </c>
      <c r="K17">
        <v>2</v>
      </c>
      <c r="L17">
        <v>5</v>
      </c>
      <c r="M17">
        <v>6</v>
      </c>
      <c r="N17">
        <v>6</v>
      </c>
      <c r="O17">
        <v>1</v>
      </c>
      <c r="P17">
        <f>(1856/128000)*100</f>
        <v>1.4500000000000002</v>
      </c>
      <c r="Q17">
        <v>2</v>
      </c>
      <c r="R17">
        <v>2</v>
      </c>
      <c r="S17">
        <v>11</v>
      </c>
      <c r="T17">
        <v>11</v>
      </c>
      <c r="U17">
        <v>1</v>
      </c>
      <c r="V17">
        <f>(2667/128000)*100</f>
        <v>2.0835937499999999</v>
      </c>
      <c r="W17">
        <v>2</v>
      </c>
      <c r="X17">
        <v>6</v>
      </c>
      <c r="Y17">
        <v>6</v>
      </c>
      <c r="Z17">
        <v>6</v>
      </c>
      <c r="AA17">
        <v>1</v>
      </c>
      <c r="AB17">
        <f>(3573/128000)*100</f>
        <v>2.7914062500000001</v>
      </c>
      <c r="AC17">
        <v>3</v>
      </c>
      <c r="AD17">
        <v>8</v>
      </c>
      <c r="AE17">
        <v>18</v>
      </c>
      <c r="AF17">
        <v>18</v>
      </c>
      <c r="AG17">
        <v>1</v>
      </c>
      <c r="AH17">
        <f>(3991/128000)*100</f>
        <v>3.1179687500000002</v>
      </c>
      <c r="AI17">
        <v>2</v>
      </c>
      <c r="AJ17" s="1" t="s">
        <v>442</v>
      </c>
      <c r="AK17" s="1" t="s">
        <v>443</v>
      </c>
      <c r="AL17" s="1">
        <v>2</v>
      </c>
    </row>
    <row r="18" spans="1:38" x14ac:dyDescent="0.25">
      <c r="A18" t="s">
        <v>31</v>
      </c>
      <c r="B18" t="s">
        <v>444</v>
      </c>
      <c r="C18" t="s">
        <v>2</v>
      </c>
      <c r="D18">
        <v>1</v>
      </c>
      <c r="E18">
        <v>1</v>
      </c>
      <c r="F18">
        <v>5</v>
      </c>
      <c r="G18">
        <v>382</v>
      </c>
      <c r="H18">
        <v>382</v>
      </c>
      <c r="I18">
        <v>1</v>
      </c>
      <c r="J18">
        <f>(1032/128000)*100</f>
        <v>0.80625000000000002</v>
      </c>
      <c r="K18">
        <v>2</v>
      </c>
      <c r="L18">
        <v>3</v>
      </c>
      <c r="M18">
        <v>8</v>
      </c>
      <c r="N18">
        <v>8</v>
      </c>
      <c r="O18">
        <v>1</v>
      </c>
      <c r="P18">
        <f>(1710/128000)*100</f>
        <v>1.3359375</v>
      </c>
      <c r="Q18">
        <v>2</v>
      </c>
      <c r="R18">
        <v>10</v>
      </c>
      <c r="S18">
        <v>17</v>
      </c>
      <c r="T18">
        <v>17</v>
      </c>
      <c r="U18">
        <v>1</v>
      </c>
      <c r="V18">
        <f>(2427/128000)*100</f>
        <v>1.8960937500000001</v>
      </c>
      <c r="W18">
        <v>2</v>
      </c>
      <c r="X18">
        <v>10</v>
      </c>
      <c r="Y18">
        <v>13</v>
      </c>
      <c r="Z18">
        <v>13</v>
      </c>
      <c r="AA18">
        <v>1</v>
      </c>
      <c r="AB18">
        <f>(3190/128000)*100</f>
        <v>2.4921875</v>
      </c>
      <c r="AC18">
        <v>3</v>
      </c>
      <c r="AD18">
        <v>10</v>
      </c>
      <c r="AE18">
        <v>25</v>
      </c>
      <c r="AF18">
        <v>25</v>
      </c>
      <c r="AG18">
        <v>1</v>
      </c>
      <c r="AH18">
        <f>(3765/128000)*100</f>
        <v>2.94140625</v>
      </c>
      <c r="AI18">
        <v>2</v>
      </c>
      <c r="AJ18" s="1" t="s">
        <v>442</v>
      </c>
      <c r="AK18" s="1" t="s">
        <v>443</v>
      </c>
      <c r="AL18" s="1">
        <v>1</v>
      </c>
    </row>
    <row r="19" spans="1:38" x14ac:dyDescent="0.25">
      <c r="A19" t="s">
        <v>36</v>
      </c>
      <c r="B19" t="s">
        <v>444</v>
      </c>
      <c r="C19" t="s">
        <v>2</v>
      </c>
      <c r="D19">
        <v>1</v>
      </c>
      <c r="E19">
        <v>2</v>
      </c>
      <c r="F19">
        <v>5</v>
      </c>
      <c r="G19">
        <v>412</v>
      </c>
      <c r="H19">
        <f>412+9</f>
        <v>421</v>
      </c>
      <c r="I19">
        <v>2</v>
      </c>
      <c r="J19">
        <f>(1021/128000)*100</f>
        <v>0.79765624999999996</v>
      </c>
      <c r="K19">
        <v>2</v>
      </c>
      <c r="L19">
        <v>3</v>
      </c>
      <c r="M19">
        <v>8</v>
      </c>
      <c r="N19">
        <v>8</v>
      </c>
      <c r="O19">
        <v>1</v>
      </c>
      <c r="P19">
        <f>(1679/128000)*100</f>
        <v>1.31171875</v>
      </c>
      <c r="Q19">
        <v>2</v>
      </c>
      <c r="R19">
        <v>3</v>
      </c>
      <c r="S19">
        <v>9</v>
      </c>
      <c r="T19">
        <v>9</v>
      </c>
      <c r="U19">
        <v>1</v>
      </c>
      <c r="V19">
        <f>(2488/128000)*100</f>
        <v>1.9437500000000001</v>
      </c>
      <c r="W19">
        <v>2</v>
      </c>
      <c r="X19">
        <v>5</v>
      </c>
      <c r="Y19">
        <v>1</v>
      </c>
      <c r="Z19">
        <v>1</v>
      </c>
      <c r="AA19">
        <v>1</v>
      </c>
      <c r="AB19">
        <f>(3389/128000)*100</f>
        <v>2.6476562499999998</v>
      </c>
      <c r="AC19">
        <v>1</v>
      </c>
      <c r="AD19">
        <v>5</v>
      </c>
      <c r="AE19">
        <v>15</v>
      </c>
      <c r="AF19">
        <v>15</v>
      </c>
      <c r="AG19">
        <v>1</v>
      </c>
      <c r="AH19">
        <f>(4254/128000)*100</f>
        <v>3.3234374999999998</v>
      </c>
      <c r="AI19">
        <v>2</v>
      </c>
      <c r="AJ19" s="1" t="s">
        <v>442</v>
      </c>
      <c r="AK19" s="1" t="s">
        <v>443</v>
      </c>
      <c r="AL19" s="1">
        <v>2</v>
      </c>
    </row>
    <row r="20" spans="1:38" x14ac:dyDescent="0.25">
      <c r="A20" t="s">
        <v>41</v>
      </c>
      <c r="B20" t="s">
        <v>444</v>
      </c>
      <c r="C20" t="s">
        <v>2</v>
      </c>
      <c r="D20">
        <v>1</v>
      </c>
      <c r="E20">
        <v>2</v>
      </c>
      <c r="F20">
        <v>8</v>
      </c>
      <c r="G20">
        <v>266</v>
      </c>
      <c r="H20">
        <f>266+274+387</f>
        <v>927</v>
      </c>
      <c r="I20">
        <v>3</v>
      </c>
      <c r="J20">
        <f>(1677/128000)*100</f>
        <v>1.3101562500000001</v>
      </c>
      <c r="K20">
        <v>2</v>
      </c>
      <c r="L20">
        <v>3</v>
      </c>
      <c r="M20">
        <v>11</v>
      </c>
      <c r="N20">
        <v>11</v>
      </c>
      <c r="O20">
        <v>1</v>
      </c>
      <c r="P20">
        <f>(2788/128000)*100</f>
        <v>2.1781249999999996</v>
      </c>
      <c r="Q20">
        <v>2</v>
      </c>
      <c r="R20">
        <v>10</v>
      </c>
      <c r="S20">
        <v>400</v>
      </c>
      <c r="T20">
        <v>400</v>
      </c>
      <c r="U20">
        <v>1</v>
      </c>
      <c r="V20">
        <f>(3738/128000)*100</f>
        <v>2.9203125000000001</v>
      </c>
      <c r="W20">
        <v>2</v>
      </c>
      <c r="X20">
        <v>10</v>
      </c>
      <c r="Y20">
        <v>4</v>
      </c>
      <c r="Z20">
        <f>4+8</f>
        <v>12</v>
      </c>
      <c r="AA20">
        <v>2</v>
      </c>
      <c r="AB20">
        <f>(5100/128000)*100</f>
        <v>3.9843749999999996</v>
      </c>
      <c r="AC20">
        <v>2</v>
      </c>
      <c r="AD20">
        <v>5</v>
      </c>
      <c r="AE20">
        <v>24</v>
      </c>
      <c r="AF20">
        <v>24</v>
      </c>
      <c r="AG20">
        <v>1</v>
      </c>
      <c r="AH20">
        <f>(5824/128000)*100</f>
        <v>4.55</v>
      </c>
      <c r="AI20">
        <v>2</v>
      </c>
      <c r="AJ20" s="1" t="s">
        <v>442</v>
      </c>
      <c r="AK20" s="1" t="s">
        <v>443</v>
      </c>
      <c r="AL20" s="1">
        <v>2</v>
      </c>
    </row>
    <row r="21" spans="1:38" x14ac:dyDescent="0.25">
      <c r="A21" t="s">
        <v>46</v>
      </c>
      <c r="B21" t="s">
        <v>444</v>
      </c>
      <c r="C21" t="s">
        <v>2</v>
      </c>
      <c r="D21">
        <v>1</v>
      </c>
      <c r="E21">
        <v>1</v>
      </c>
      <c r="F21">
        <v>3</v>
      </c>
      <c r="G21">
        <v>434</v>
      </c>
      <c r="H21">
        <v>434</v>
      </c>
      <c r="I21">
        <v>1</v>
      </c>
      <c r="J21">
        <f>(784/128000)*100</f>
        <v>0.61250000000000004</v>
      </c>
      <c r="K21">
        <v>2</v>
      </c>
      <c r="L21">
        <v>3</v>
      </c>
      <c r="M21">
        <v>14</v>
      </c>
      <c r="N21">
        <v>14</v>
      </c>
      <c r="O21">
        <v>1</v>
      </c>
      <c r="P21">
        <f>(1198/128000)*100</f>
        <v>0.93593749999999998</v>
      </c>
      <c r="Q21">
        <v>2</v>
      </c>
      <c r="R21">
        <v>3</v>
      </c>
      <c r="S21">
        <v>41</v>
      </c>
      <c r="T21">
        <v>41</v>
      </c>
      <c r="U21">
        <v>1</v>
      </c>
      <c r="V21">
        <f>(1789/128000)*100</f>
        <v>1.39765625</v>
      </c>
      <c r="W21">
        <v>2</v>
      </c>
      <c r="X21">
        <v>10</v>
      </c>
      <c r="Y21">
        <v>38</v>
      </c>
      <c r="Z21">
        <v>38</v>
      </c>
      <c r="AA21">
        <v>1</v>
      </c>
      <c r="AB21">
        <f>(2277/128000)*100</f>
        <v>1.7789062500000001</v>
      </c>
      <c r="AC21">
        <v>2</v>
      </c>
      <c r="AD21">
        <v>3</v>
      </c>
      <c r="AE21">
        <v>59</v>
      </c>
      <c r="AF21">
        <v>59</v>
      </c>
      <c r="AG21">
        <v>1</v>
      </c>
      <c r="AH21">
        <f>(2836/128000)*100</f>
        <v>2.2156249999999997</v>
      </c>
      <c r="AI21">
        <v>2</v>
      </c>
      <c r="AJ21" s="1" t="s">
        <v>442</v>
      </c>
      <c r="AK21" s="1" t="s">
        <v>443</v>
      </c>
      <c r="AL21" s="1">
        <v>1</v>
      </c>
    </row>
    <row r="22" spans="1:38" x14ac:dyDescent="0.25">
      <c r="A22" t="s">
        <v>0</v>
      </c>
      <c r="B22" t="s">
        <v>444</v>
      </c>
      <c r="C22" t="s">
        <v>94</v>
      </c>
      <c r="D22">
        <v>2</v>
      </c>
      <c r="E22">
        <v>4</v>
      </c>
      <c r="F22">
        <v>0</v>
      </c>
      <c r="G22">
        <v>477</v>
      </c>
      <c r="H22">
        <v>477</v>
      </c>
      <c r="I22">
        <v>1</v>
      </c>
      <c r="J22">
        <f>(927/128000)*100</f>
        <v>0.72421875000000002</v>
      </c>
      <c r="K22">
        <v>2</v>
      </c>
      <c r="L22">
        <v>0</v>
      </c>
      <c r="M22">
        <v>7</v>
      </c>
      <c r="N22">
        <v>7</v>
      </c>
      <c r="O22">
        <v>1</v>
      </c>
      <c r="P22">
        <f>(1434/128000)*100</f>
        <v>1.1203125</v>
      </c>
      <c r="Q22">
        <v>2</v>
      </c>
      <c r="R22">
        <v>0</v>
      </c>
      <c r="S22">
        <v>15</v>
      </c>
      <c r="T22">
        <v>15</v>
      </c>
      <c r="U22">
        <v>1</v>
      </c>
      <c r="V22">
        <f>(2049/128000)*100</f>
        <v>1.60078125</v>
      </c>
      <c r="W22">
        <v>2</v>
      </c>
      <c r="X22">
        <v>0</v>
      </c>
      <c r="Y22">
        <v>9</v>
      </c>
      <c r="Z22">
        <v>9</v>
      </c>
      <c r="AA22">
        <v>1</v>
      </c>
      <c r="AB22">
        <f>(2858/128000)*100</f>
        <v>2.2328125000000001</v>
      </c>
      <c r="AC22">
        <v>2</v>
      </c>
      <c r="AD22">
        <v>0</v>
      </c>
      <c r="AE22">
        <v>59</v>
      </c>
      <c r="AF22">
        <v>59</v>
      </c>
      <c r="AG22">
        <v>1</v>
      </c>
      <c r="AH22">
        <f>(3467/128000)*100</f>
        <v>2.7085937499999999</v>
      </c>
      <c r="AI22">
        <v>2</v>
      </c>
      <c r="AJ22" s="1" t="s">
        <v>442</v>
      </c>
      <c r="AK22" s="1" t="s">
        <v>445</v>
      </c>
      <c r="AL22" s="1">
        <v>4</v>
      </c>
    </row>
    <row r="23" spans="1:38" x14ac:dyDescent="0.25">
      <c r="A23" t="s">
        <v>7</v>
      </c>
      <c r="B23" t="s">
        <v>444</v>
      </c>
      <c r="C23" t="s">
        <v>94</v>
      </c>
      <c r="D23">
        <v>2</v>
      </c>
      <c r="E23">
        <v>3</v>
      </c>
      <c r="F23">
        <v>5</v>
      </c>
      <c r="G23">
        <v>169</v>
      </c>
      <c r="H23">
        <f>169+223+48</f>
        <v>440</v>
      </c>
      <c r="I23">
        <v>3</v>
      </c>
      <c r="J23">
        <f>((440+38+1945+303)/128000)*100</f>
        <v>2.1296875000000002</v>
      </c>
      <c r="K23">
        <v>2</v>
      </c>
      <c r="L23">
        <v>8</v>
      </c>
      <c r="M23">
        <v>0</v>
      </c>
      <c r="N23">
        <v>0</v>
      </c>
      <c r="O23">
        <v>0</v>
      </c>
      <c r="P23">
        <f>((440+38+1945+303)/128000)*100</f>
        <v>2.1296875000000002</v>
      </c>
      <c r="Q23">
        <v>0</v>
      </c>
      <c r="R23">
        <v>8</v>
      </c>
      <c r="S23">
        <v>42</v>
      </c>
      <c r="T23">
        <v>42</v>
      </c>
      <c r="U23">
        <v>1</v>
      </c>
      <c r="V23">
        <f>((440+38+1945+303+42+514)/128000)*100</f>
        <v>2.5640624999999999</v>
      </c>
      <c r="W23">
        <v>2.5</v>
      </c>
      <c r="X23">
        <v>10</v>
      </c>
      <c r="Y23">
        <v>0</v>
      </c>
      <c r="Z23">
        <v>0</v>
      </c>
      <c r="AA23">
        <v>0</v>
      </c>
      <c r="AB23">
        <f>((440+38+1945+303+42+182)/128000)*100</f>
        <v>2.3046875</v>
      </c>
      <c r="AC23">
        <v>0</v>
      </c>
      <c r="AD23">
        <v>10</v>
      </c>
      <c r="AE23">
        <v>64</v>
      </c>
      <c r="AF23">
        <v>64</v>
      </c>
      <c r="AG23">
        <v>1</v>
      </c>
      <c r="AH23">
        <f>((440+38+1945+303+42+182+64+789)/128000)*100</f>
        <v>2.9710937500000001</v>
      </c>
      <c r="AI23">
        <v>2</v>
      </c>
      <c r="AJ23" s="1" t="s">
        <v>442</v>
      </c>
      <c r="AK23" s="1" t="s">
        <v>445</v>
      </c>
      <c r="AL23" s="1">
        <v>3</v>
      </c>
    </row>
    <row r="24" spans="1:38" x14ac:dyDescent="0.25">
      <c r="A24" t="s">
        <v>11</v>
      </c>
      <c r="B24" t="s">
        <v>444</v>
      </c>
      <c r="C24" t="s">
        <v>94</v>
      </c>
      <c r="D24">
        <v>2</v>
      </c>
      <c r="E24">
        <v>4</v>
      </c>
      <c r="F24">
        <v>5</v>
      </c>
      <c r="G24">
        <v>462</v>
      </c>
      <c r="H24">
        <f>462+47</f>
        <v>509</v>
      </c>
      <c r="I24">
        <v>2</v>
      </c>
      <c r="J24">
        <f>(1409/128000)*100</f>
        <v>1.10078125</v>
      </c>
      <c r="K24">
        <v>2</v>
      </c>
      <c r="L24">
        <v>3</v>
      </c>
      <c r="M24">
        <v>9</v>
      </c>
      <c r="N24">
        <f>9+5</f>
        <v>14</v>
      </c>
      <c r="O24">
        <v>2</v>
      </c>
      <c r="P24">
        <f>(2523/128000)*100</f>
        <v>1.9710937500000001</v>
      </c>
      <c r="Q24">
        <v>2</v>
      </c>
      <c r="R24">
        <v>8</v>
      </c>
      <c r="S24">
        <v>22</v>
      </c>
      <c r="T24">
        <f>22+14</f>
        <v>36</v>
      </c>
      <c r="U24">
        <v>2</v>
      </c>
      <c r="V24">
        <f>(3659/128000)*100</f>
        <v>2.8585937499999998</v>
      </c>
      <c r="W24">
        <v>2.5</v>
      </c>
      <c r="X24">
        <v>8</v>
      </c>
      <c r="Y24">
        <v>28</v>
      </c>
      <c r="Z24">
        <f>28+7</f>
        <v>35</v>
      </c>
      <c r="AA24">
        <v>2</v>
      </c>
      <c r="AB24">
        <f>(4894/128000)*100</f>
        <v>3.8234375000000003</v>
      </c>
      <c r="AC24">
        <v>3</v>
      </c>
      <c r="AD24">
        <v>10</v>
      </c>
      <c r="AE24">
        <v>48</v>
      </c>
      <c r="AF24">
        <v>48</v>
      </c>
      <c r="AG24">
        <v>1</v>
      </c>
      <c r="AH24">
        <f>(5542/128000)*100</f>
        <v>4.3296874999999995</v>
      </c>
      <c r="AI24">
        <v>2</v>
      </c>
      <c r="AJ24" s="1" t="s">
        <v>442</v>
      </c>
      <c r="AK24" s="1" t="s">
        <v>445</v>
      </c>
      <c r="AL24" s="1">
        <v>4</v>
      </c>
    </row>
    <row r="25" spans="1:38" x14ac:dyDescent="0.25">
      <c r="A25" t="s">
        <v>16</v>
      </c>
      <c r="B25" t="s">
        <v>444</v>
      </c>
      <c r="C25" t="s">
        <v>94</v>
      </c>
      <c r="D25">
        <v>2</v>
      </c>
      <c r="E25">
        <v>3</v>
      </c>
      <c r="F25">
        <v>5</v>
      </c>
      <c r="G25">
        <v>448</v>
      </c>
      <c r="H25">
        <f>448+2</f>
        <v>450</v>
      </c>
      <c r="I25">
        <v>2</v>
      </c>
      <c r="J25">
        <f>(1250/128000)*100</f>
        <v>0.9765625</v>
      </c>
      <c r="K25">
        <v>2</v>
      </c>
      <c r="L25">
        <v>7</v>
      </c>
      <c r="M25">
        <v>4</v>
      </c>
      <c r="N25">
        <f>4+20+6</f>
        <v>30</v>
      </c>
      <c r="O25">
        <v>3</v>
      </c>
      <c r="P25">
        <f>(3080/128000)*100</f>
        <v>2.40625</v>
      </c>
      <c r="Q25">
        <v>2</v>
      </c>
      <c r="R25">
        <v>7</v>
      </c>
      <c r="S25">
        <v>8</v>
      </c>
      <c r="T25">
        <f>8+5</f>
        <v>13</v>
      </c>
      <c r="U25">
        <v>2</v>
      </c>
      <c r="V25">
        <f>(4093/128000)*100</f>
        <v>3.1976562500000001</v>
      </c>
      <c r="W25">
        <v>2</v>
      </c>
      <c r="X25">
        <v>10</v>
      </c>
      <c r="Y25">
        <v>431</v>
      </c>
      <c r="Z25">
        <f>431+18</f>
        <v>449</v>
      </c>
      <c r="AA25">
        <v>2</v>
      </c>
      <c r="AB25">
        <f>(5742/128000)*100</f>
        <v>4.4859375000000004</v>
      </c>
      <c r="AC25">
        <v>2.5</v>
      </c>
      <c r="AD25">
        <v>10</v>
      </c>
      <c r="AE25">
        <v>0</v>
      </c>
      <c r="AF25">
        <v>0</v>
      </c>
      <c r="AG25">
        <v>0</v>
      </c>
      <c r="AH25">
        <f>(5742/128000)*100</f>
        <v>4.4859375000000004</v>
      </c>
      <c r="AI25">
        <v>0</v>
      </c>
      <c r="AJ25" s="1" t="s">
        <v>442</v>
      </c>
      <c r="AK25" s="1" t="s">
        <v>445</v>
      </c>
      <c r="AL25" s="1">
        <v>3</v>
      </c>
    </row>
    <row r="26" spans="1:38" x14ac:dyDescent="0.25">
      <c r="A26" t="s">
        <v>21</v>
      </c>
      <c r="B26" t="s">
        <v>444</v>
      </c>
      <c r="C26" t="s">
        <v>94</v>
      </c>
      <c r="D26">
        <v>2</v>
      </c>
      <c r="E26">
        <v>4</v>
      </c>
      <c r="F26">
        <v>0</v>
      </c>
      <c r="G26">
        <v>447</v>
      </c>
      <c r="H26">
        <v>447</v>
      </c>
      <c r="I26">
        <v>1</v>
      </c>
      <c r="J26">
        <f>(997/128000)*100</f>
        <v>0.77890625000000002</v>
      </c>
      <c r="K26">
        <v>2</v>
      </c>
      <c r="L26">
        <v>7</v>
      </c>
      <c r="M26">
        <v>18</v>
      </c>
      <c r="N26">
        <v>18</v>
      </c>
      <c r="O26">
        <v>1</v>
      </c>
      <c r="P26">
        <f>(1515/128000)*100</f>
        <v>1.18359375</v>
      </c>
      <c r="Q26">
        <v>2</v>
      </c>
      <c r="R26">
        <v>5</v>
      </c>
      <c r="S26">
        <v>41</v>
      </c>
      <c r="T26">
        <v>41</v>
      </c>
      <c r="U26">
        <v>1</v>
      </c>
      <c r="V26">
        <f>(2678/128000)*100</f>
        <v>2.0921875000000001</v>
      </c>
      <c r="W26">
        <v>2</v>
      </c>
      <c r="X26">
        <v>8</v>
      </c>
      <c r="Y26">
        <v>22</v>
      </c>
      <c r="Z26">
        <v>22</v>
      </c>
      <c r="AA26">
        <v>1</v>
      </c>
      <c r="AB26">
        <f>(2678/128000)*100</f>
        <v>2.0921875000000001</v>
      </c>
      <c r="AC26">
        <v>2</v>
      </c>
      <c r="AD26">
        <v>10</v>
      </c>
      <c r="AE26">
        <v>58</v>
      </c>
      <c r="AF26">
        <v>58</v>
      </c>
      <c r="AG26">
        <v>1</v>
      </c>
      <c r="AH26">
        <f>(3236/128000)*100</f>
        <v>2.5281250000000002</v>
      </c>
      <c r="AI26">
        <v>2</v>
      </c>
      <c r="AJ26" s="1" t="s">
        <v>442</v>
      </c>
      <c r="AK26" s="1" t="s">
        <v>445</v>
      </c>
      <c r="AL26" s="1">
        <v>4</v>
      </c>
    </row>
    <row r="27" spans="1:38" x14ac:dyDescent="0.25">
      <c r="A27" t="s">
        <v>26</v>
      </c>
      <c r="B27" t="s">
        <v>444</v>
      </c>
      <c r="C27" t="s">
        <v>94</v>
      </c>
      <c r="D27">
        <v>2</v>
      </c>
      <c r="E27">
        <v>3</v>
      </c>
      <c r="F27">
        <v>6</v>
      </c>
      <c r="G27">
        <v>561</v>
      </c>
      <c r="H27">
        <f>561+28</f>
        <v>589</v>
      </c>
      <c r="I27">
        <v>2</v>
      </c>
      <c r="J27">
        <f>(1589/128000)*100</f>
        <v>1.24140625</v>
      </c>
      <c r="K27">
        <v>2</v>
      </c>
      <c r="L27">
        <v>6</v>
      </c>
      <c r="M27">
        <v>11</v>
      </c>
      <c r="N27">
        <f>11+12+9+18+671+6</f>
        <v>727</v>
      </c>
      <c r="O27">
        <v>6</v>
      </c>
      <c r="P27">
        <f>(6316/128000)*100</f>
        <v>4.9343750000000002</v>
      </c>
      <c r="Q27">
        <v>2</v>
      </c>
      <c r="R27">
        <v>8</v>
      </c>
      <c r="S27">
        <v>40</v>
      </c>
      <c r="T27">
        <v>40</v>
      </c>
      <c r="U27">
        <v>1</v>
      </c>
      <c r="V27">
        <f>(7156/128000)*100</f>
        <v>5.5906250000000002</v>
      </c>
      <c r="W27">
        <v>2</v>
      </c>
      <c r="X27">
        <v>10</v>
      </c>
      <c r="Y27">
        <v>11</v>
      </c>
      <c r="Z27">
        <f>11+289</f>
        <v>300</v>
      </c>
      <c r="AA27">
        <v>2</v>
      </c>
      <c r="AB27">
        <f>(8956/128000)*100</f>
        <v>6.9968749999999993</v>
      </c>
      <c r="AC27">
        <v>2</v>
      </c>
      <c r="AD27">
        <v>10</v>
      </c>
      <c r="AE27">
        <v>0</v>
      </c>
      <c r="AF27">
        <v>0</v>
      </c>
      <c r="AG27">
        <v>0</v>
      </c>
      <c r="AH27">
        <f>(8956/128000)*100</f>
        <v>6.9968749999999993</v>
      </c>
      <c r="AI27">
        <v>0</v>
      </c>
      <c r="AJ27" s="1" t="s">
        <v>442</v>
      </c>
      <c r="AK27" s="1" t="s">
        <v>445</v>
      </c>
      <c r="AL27" s="1">
        <v>3</v>
      </c>
    </row>
    <row r="28" spans="1:38" x14ac:dyDescent="0.25">
      <c r="A28" t="s">
        <v>31</v>
      </c>
      <c r="B28" t="s">
        <v>444</v>
      </c>
      <c r="C28" t="s">
        <v>94</v>
      </c>
      <c r="D28">
        <v>2</v>
      </c>
      <c r="E28">
        <v>4</v>
      </c>
      <c r="F28">
        <v>5</v>
      </c>
      <c r="G28">
        <v>437</v>
      </c>
      <c r="H28">
        <v>437</v>
      </c>
      <c r="I28">
        <v>1</v>
      </c>
      <c r="J28">
        <f>(1137/128000)*100</f>
        <v>0.88828125000000002</v>
      </c>
      <c r="K28">
        <v>2</v>
      </c>
      <c r="L28">
        <v>2</v>
      </c>
      <c r="M28">
        <v>5</v>
      </c>
      <c r="N28">
        <v>5</v>
      </c>
      <c r="O28">
        <v>1</v>
      </c>
      <c r="P28">
        <f>(1742/128000)*100</f>
        <v>1.3609374999999999</v>
      </c>
      <c r="Q28">
        <v>2</v>
      </c>
      <c r="R28">
        <v>8</v>
      </c>
      <c r="S28">
        <v>11</v>
      </c>
      <c r="T28">
        <v>11</v>
      </c>
      <c r="U28">
        <v>1</v>
      </c>
      <c r="V28">
        <f>(2503/128000)*100</f>
        <v>1.9554687500000001</v>
      </c>
      <c r="W28">
        <v>2</v>
      </c>
      <c r="X28">
        <v>10</v>
      </c>
      <c r="Y28">
        <v>5</v>
      </c>
      <c r="Z28">
        <v>5</v>
      </c>
      <c r="AA28">
        <v>1</v>
      </c>
      <c r="AB28">
        <f>(3508/128000)*100</f>
        <v>2.7406250000000001</v>
      </c>
      <c r="AC28">
        <v>1</v>
      </c>
      <c r="AD28">
        <v>10</v>
      </c>
      <c r="AE28">
        <v>25</v>
      </c>
      <c r="AF28">
        <v>25</v>
      </c>
      <c r="AG28">
        <v>1</v>
      </c>
      <c r="AH28">
        <f>(4183/128000)*100</f>
        <v>3.2679687499999996</v>
      </c>
      <c r="AI28">
        <v>2.5</v>
      </c>
      <c r="AJ28" s="1" t="s">
        <v>442</v>
      </c>
      <c r="AK28" s="1" t="s">
        <v>445</v>
      </c>
      <c r="AL28" s="1">
        <v>4</v>
      </c>
    </row>
    <row r="29" spans="1:38" x14ac:dyDescent="0.25">
      <c r="A29" t="s">
        <v>36</v>
      </c>
      <c r="B29" t="s">
        <v>444</v>
      </c>
      <c r="C29" t="s">
        <v>94</v>
      </c>
      <c r="D29">
        <v>2</v>
      </c>
      <c r="E29">
        <v>3</v>
      </c>
      <c r="F29">
        <v>5</v>
      </c>
      <c r="G29">
        <v>470</v>
      </c>
      <c r="H29">
        <f>470+10</f>
        <v>480</v>
      </c>
      <c r="I29">
        <v>2</v>
      </c>
      <c r="J29">
        <f>(1480/128000)*100</f>
        <v>1.15625</v>
      </c>
      <c r="K29">
        <v>2</v>
      </c>
      <c r="L29">
        <v>3</v>
      </c>
      <c r="M29">
        <v>10</v>
      </c>
      <c r="N29">
        <f>10+10</f>
        <v>20</v>
      </c>
      <c r="O29">
        <v>2</v>
      </c>
      <c r="P29">
        <f>(2600/128000)*100</f>
        <v>2.03125</v>
      </c>
      <c r="Q29">
        <v>2</v>
      </c>
      <c r="R29">
        <v>2</v>
      </c>
      <c r="S29">
        <v>12</v>
      </c>
      <c r="T29">
        <v>12</v>
      </c>
      <c r="U29">
        <v>1</v>
      </c>
      <c r="V29">
        <f>(3412/128000)*100</f>
        <v>2.6656249999999999</v>
      </c>
      <c r="W29">
        <v>2</v>
      </c>
      <c r="X29">
        <v>2</v>
      </c>
      <c r="Y29">
        <v>3</v>
      </c>
      <c r="Z29">
        <v>3</v>
      </c>
      <c r="AA29">
        <v>1</v>
      </c>
      <c r="AB29">
        <f>(4415/128000)*100</f>
        <v>3.44921875</v>
      </c>
      <c r="AC29">
        <v>1</v>
      </c>
      <c r="AD29">
        <v>0</v>
      </c>
      <c r="AE29">
        <v>13</v>
      </c>
      <c r="AF29">
        <v>13</v>
      </c>
      <c r="AG29">
        <v>1</v>
      </c>
      <c r="AH29">
        <f>(5028/128000)*100</f>
        <v>3.9281249999999996</v>
      </c>
      <c r="AI29">
        <v>2</v>
      </c>
      <c r="AJ29" s="1" t="s">
        <v>442</v>
      </c>
      <c r="AK29" s="1" t="s">
        <v>445</v>
      </c>
      <c r="AL29" s="1">
        <v>3</v>
      </c>
    </row>
    <row r="30" spans="1:38" x14ac:dyDescent="0.25">
      <c r="A30" t="s">
        <v>41</v>
      </c>
      <c r="B30" t="s">
        <v>444</v>
      </c>
      <c r="C30" t="s">
        <v>94</v>
      </c>
      <c r="D30">
        <v>2</v>
      </c>
      <c r="E30">
        <v>3</v>
      </c>
      <c r="F30">
        <v>5</v>
      </c>
      <c r="G30">
        <v>439</v>
      </c>
      <c r="H30">
        <v>439</v>
      </c>
      <c r="I30">
        <v>1</v>
      </c>
      <c r="J30">
        <f>(1239/128000)*100</f>
        <v>0.96796875000000004</v>
      </c>
      <c r="K30">
        <v>2</v>
      </c>
      <c r="L30">
        <v>7</v>
      </c>
      <c r="M30">
        <v>21</v>
      </c>
      <c r="N30">
        <v>21</v>
      </c>
      <c r="O30">
        <v>1</v>
      </c>
      <c r="P30">
        <f>(1860/128000)*100</f>
        <v>1.453125</v>
      </c>
      <c r="Q30">
        <v>2</v>
      </c>
      <c r="R30">
        <v>8</v>
      </c>
      <c r="S30">
        <v>14</v>
      </c>
      <c r="T30">
        <v>14</v>
      </c>
      <c r="U30">
        <v>1</v>
      </c>
      <c r="V30">
        <f>(2574/128000)*100</f>
        <v>2.0109374999999998</v>
      </c>
      <c r="W30">
        <v>2</v>
      </c>
      <c r="X30">
        <v>10</v>
      </c>
      <c r="Y30">
        <v>4</v>
      </c>
      <c r="Z30">
        <f>4+11</f>
        <v>15</v>
      </c>
      <c r="AA30">
        <v>2</v>
      </c>
      <c r="AB30">
        <f>(4089/128000)*100</f>
        <v>3.1945312500000003</v>
      </c>
      <c r="AC30">
        <v>2</v>
      </c>
      <c r="AD30">
        <v>2</v>
      </c>
      <c r="AE30">
        <v>23</v>
      </c>
      <c r="AF30">
        <f>23+5</f>
        <v>28</v>
      </c>
      <c r="AG30">
        <v>2</v>
      </c>
      <c r="AH30">
        <f>(4617/128000)*100</f>
        <v>3.6070312499999999</v>
      </c>
      <c r="AI30">
        <v>2</v>
      </c>
      <c r="AJ30" s="1" t="s">
        <v>442</v>
      </c>
      <c r="AK30" s="1" t="s">
        <v>445</v>
      </c>
      <c r="AL30" s="1">
        <v>3</v>
      </c>
    </row>
    <row r="31" spans="1:38" x14ac:dyDescent="0.25">
      <c r="A31" t="s">
        <v>46</v>
      </c>
      <c r="B31" t="s">
        <v>444</v>
      </c>
      <c r="C31" t="s">
        <v>94</v>
      </c>
      <c r="D31">
        <v>2</v>
      </c>
      <c r="E31">
        <v>4</v>
      </c>
      <c r="F31">
        <v>8</v>
      </c>
      <c r="G31">
        <f>470+31</f>
        <v>501</v>
      </c>
      <c r="H31">
        <v>501</v>
      </c>
      <c r="I31">
        <v>1</v>
      </c>
      <c r="J31">
        <f>(1101/128000)*100</f>
        <v>0.86015624999999996</v>
      </c>
      <c r="K31">
        <v>2.5</v>
      </c>
      <c r="L31">
        <v>7</v>
      </c>
      <c r="M31">
        <v>18</v>
      </c>
      <c r="N31">
        <v>18</v>
      </c>
      <c r="O31">
        <v>1</v>
      </c>
      <c r="P31">
        <f>(1669/128000)*100</f>
        <v>1.30390625</v>
      </c>
      <c r="Q31">
        <v>2</v>
      </c>
      <c r="R31">
        <v>3</v>
      </c>
      <c r="S31">
        <v>41</v>
      </c>
      <c r="T31">
        <v>41</v>
      </c>
      <c r="U31">
        <v>1</v>
      </c>
      <c r="V31">
        <f>(2360/128000)*100</f>
        <v>1.84375</v>
      </c>
      <c r="W31">
        <v>2</v>
      </c>
      <c r="X31">
        <v>7</v>
      </c>
      <c r="Y31">
        <v>38</v>
      </c>
      <c r="Z31">
        <v>38</v>
      </c>
      <c r="AA31">
        <v>1</v>
      </c>
      <c r="AB31">
        <f>(2648/128000)*100</f>
        <v>2.0687500000000001</v>
      </c>
      <c r="AC31">
        <v>2</v>
      </c>
      <c r="AD31">
        <v>0</v>
      </c>
      <c r="AE31">
        <v>59</v>
      </c>
      <c r="AF31">
        <v>59</v>
      </c>
      <c r="AG31">
        <v>1</v>
      </c>
      <c r="AH31">
        <f>(3207/128000)*100</f>
        <v>2.5054687499999999</v>
      </c>
      <c r="AI31">
        <v>2</v>
      </c>
      <c r="AJ31" s="1" t="s">
        <v>442</v>
      </c>
      <c r="AK31" s="1" t="s">
        <v>445</v>
      </c>
      <c r="AL31" s="1">
        <v>4</v>
      </c>
    </row>
    <row r="32" spans="1:38" x14ac:dyDescent="0.25">
      <c r="A32" t="s">
        <v>0</v>
      </c>
      <c r="B32" t="s">
        <v>441</v>
      </c>
      <c r="C32" t="s">
        <v>89</v>
      </c>
      <c r="D32">
        <v>2</v>
      </c>
      <c r="E32">
        <v>3</v>
      </c>
      <c r="F32">
        <v>8</v>
      </c>
      <c r="L32">
        <v>10</v>
      </c>
      <c r="R32">
        <v>3</v>
      </c>
      <c r="X32">
        <v>10</v>
      </c>
      <c r="AD32">
        <v>10</v>
      </c>
      <c r="AJ32" s="1" t="s">
        <v>442</v>
      </c>
      <c r="AK32" s="1" t="s">
        <v>445</v>
      </c>
      <c r="AL32" s="1">
        <v>3</v>
      </c>
    </row>
    <row r="33" spans="1:38" x14ac:dyDescent="0.25">
      <c r="A33" t="s">
        <v>7</v>
      </c>
      <c r="B33" t="s">
        <v>441</v>
      </c>
      <c r="C33" t="s">
        <v>89</v>
      </c>
      <c r="D33">
        <v>2</v>
      </c>
      <c r="E33">
        <v>4</v>
      </c>
      <c r="F33">
        <v>7</v>
      </c>
      <c r="L33">
        <v>7</v>
      </c>
      <c r="R33">
        <v>6</v>
      </c>
      <c r="X33">
        <v>6</v>
      </c>
      <c r="AD33">
        <v>8</v>
      </c>
      <c r="AJ33" s="1" t="s">
        <v>442</v>
      </c>
      <c r="AK33" s="1" t="s">
        <v>445</v>
      </c>
      <c r="AL33" s="1">
        <v>4</v>
      </c>
    </row>
    <row r="34" spans="1:38" x14ac:dyDescent="0.25">
      <c r="A34" t="s">
        <v>11</v>
      </c>
      <c r="B34" t="s">
        <v>441</v>
      </c>
      <c r="C34" t="s">
        <v>89</v>
      </c>
      <c r="D34">
        <v>2</v>
      </c>
      <c r="E34">
        <v>3</v>
      </c>
      <c r="F34">
        <v>10</v>
      </c>
      <c r="L34">
        <v>10</v>
      </c>
      <c r="R34">
        <v>8</v>
      </c>
      <c r="X34">
        <v>10</v>
      </c>
      <c r="AD34">
        <v>10</v>
      </c>
      <c r="AJ34" s="1" t="s">
        <v>442</v>
      </c>
      <c r="AK34" s="1" t="s">
        <v>445</v>
      </c>
      <c r="AL34" s="1">
        <v>3</v>
      </c>
    </row>
    <row r="35" spans="1:38" x14ac:dyDescent="0.25">
      <c r="A35" t="s">
        <v>16</v>
      </c>
      <c r="B35" t="s">
        <v>441</v>
      </c>
      <c r="C35" t="s">
        <v>89</v>
      </c>
      <c r="D35">
        <v>2</v>
      </c>
      <c r="E35">
        <v>4</v>
      </c>
      <c r="F35">
        <v>5</v>
      </c>
      <c r="L35">
        <v>8</v>
      </c>
      <c r="R35">
        <v>0</v>
      </c>
      <c r="X35">
        <v>8</v>
      </c>
      <c r="AD35">
        <v>10</v>
      </c>
      <c r="AJ35" s="1" t="s">
        <v>442</v>
      </c>
      <c r="AK35" s="1" t="s">
        <v>445</v>
      </c>
      <c r="AL35" s="1">
        <v>4</v>
      </c>
    </row>
    <row r="36" spans="1:38" x14ac:dyDescent="0.25">
      <c r="A36" t="s">
        <v>21</v>
      </c>
      <c r="B36" t="s">
        <v>441</v>
      </c>
      <c r="C36" t="s">
        <v>89</v>
      </c>
      <c r="D36">
        <v>2</v>
      </c>
      <c r="E36">
        <v>3</v>
      </c>
      <c r="F36">
        <v>8</v>
      </c>
      <c r="L36">
        <v>10</v>
      </c>
      <c r="R36">
        <v>5</v>
      </c>
      <c r="X36">
        <v>0</v>
      </c>
      <c r="AD36">
        <v>10</v>
      </c>
      <c r="AJ36" s="1" t="s">
        <v>442</v>
      </c>
      <c r="AK36" s="1" t="s">
        <v>445</v>
      </c>
      <c r="AL36" s="1">
        <v>3</v>
      </c>
    </row>
    <row r="37" spans="1:38" x14ac:dyDescent="0.25">
      <c r="A37" t="s">
        <v>26</v>
      </c>
      <c r="B37" t="s">
        <v>441</v>
      </c>
      <c r="C37" t="s">
        <v>89</v>
      </c>
      <c r="D37">
        <v>2</v>
      </c>
      <c r="E37">
        <v>4</v>
      </c>
      <c r="F37">
        <v>10</v>
      </c>
      <c r="L37">
        <v>10</v>
      </c>
      <c r="R37">
        <v>8</v>
      </c>
      <c r="X37">
        <v>10</v>
      </c>
      <c r="AD37">
        <v>10</v>
      </c>
      <c r="AJ37" s="1" t="s">
        <v>442</v>
      </c>
      <c r="AK37" s="1" t="s">
        <v>445</v>
      </c>
      <c r="AL37" s="1">
        <v>4</v>
      </c>
    </row>
    <row r="38" spans="1:38" x14ac:dyDescent="0.25">
      <c r="A38" t="s">
        <v>31</v>
      </c>
      <c r="B38" t="s">
        <v>441</v>
      </c>
      <c r="C38" t="s">
        <v>89</v>
      </c>
      <c r="D38">
        <v>2</v>
      </c>
      <c r="E38">
        <v>3</v>
      </c>
      <c r="F38">
        <v>10</v>
      </c>
      <c r="L38">
        <v>0</v>
      </c>
      <c r="R38">
        <v>0</v>
      </c>
      <c r="X38">
        <v>8</v>
      </c>
      <c r="AD38">
        <v>10</v>
      </c>
      <c r="AJ38" s="1" t="s">
        <v>442</v>
      </c>
      <c r="AK38" s="1" t="s">
        <v>445</v>
      </c>
      <c r="AL38" s="1">
        <v>3</v>
      </c>
    </row>
    <row r="39" spans="1:38" x14ac:dyDescent="0.25">
      <c r="A39" t="s">
        <v>36</v>
      </c>
      <c r="B39" t="s">
        <v>441</v>
      </c>
      <c r="C39" t="s">
        <v>89</v>
      </c>
      <c r="D39">
        <v>2</v>
      </c>
      <c r="E39">
        <v>4</v>
      </c>
      <c r="F39">
        <v>0</v>
      </c>
      <c r="L39">
        <v>7</v>
      </c>
      <c r="R39">
        <v>8</v>
      </c>
      <c r="X39">
        <v>8</v>
      </c>
      <c r="AD39">
        <v>10</v>
      </c>
      <c r="AJ39" s="1" t="s">
        <v>442</v>
      </c>
      <c r="AK39" s="1" t="s">
        <v>445</v>
      </c>
      <c r="AL39" s="1">
        <v>4</v>
      </c>
    </row>
    <row r="40" spans="1:38" x14ac:dyDescent="0.25">
      <c r="A40" t="s">
        <v>41</v>
      </c>
      <c r="B40" t="s">
        <v>441</v>
      </c>
      <c r="C40" t="s">
        <v>89</v>
      </c>
      <c r="D40">
        <v>2</v>
      </c>
      <c r="E40">
        <v>4</v>
      </c>
      <c r="F40">
        <v>3</v>
      </c>
      <c r="L40">
        <v>3</v>
      </c>
      <c r="R40">
        <v>8</v>
      </c>
      <c r="X40">
        <v>10</v>
      </c>
      <c r="AD40">
        <v>10</v>
      </c>
      <c r="AJ40" s="1" t="s">
        <v>442</v>
      </c>
      <c r="AK40" s="1" t="s">
        <v>445</v>
      </c>
      <c r="AL40" s="1">
        <v>4</v>
      </c>
    </row>
    <row r="41" spans="1:38" x14ac:dyDescent="0.25">
      <c r="A41" t="s">
        <v>46</v>
      </c>
      <c r="B41" t="s">
        <v>441</v>
      </c>
      <c r="C41" t="s">
        <v>89</v>
      </c>
      <c r="D41">
        <v>2</v>
      </c>
      <c r="E41">
        <v>3</v>
      </c>
      <c r="F41">
        <v>10</v>
      </c>
      <c r="L41">
        <v>10</v>
      </c>
      <c r="R41">
        <v>8</v>
      </c>
      <c r="X41">
        <v>10</v>
      </c>
      <c r="AD41">
        <v>10</v>
      </c>
      <c r="AJ41" s="1" t="s">
        <v>442</v>
      </c>
      <c r="AK41" s="1" t="s">
        <v>445</v>
      </c>
      <c r="AL41" s="1">
        <v>3</v>
      </c>
    </row>
    <row r="42" spans="1:38" x14ac:dyDescent="0.25">
      <c r="A42" t="s">
        <v>0</v>
      </c>
      <c r="B42" t="s">
        <v>441</v>
      </c>
      <c r="C42" t="s">
        <v>172</v>
      </c>
      <c r="D42">
        <v>3</v>
      </c>
      <c r="E42">
        <v>6</v>
      </c>
      <c r="F42">
        <v>7</v>
      </c>
      <c r="L42">
        <v>8</v>
      </c>
      <c r="R42">
        <v>4</v>
      </c>
      <c r="X42">
        <v>10</v>
      </c>
      <c r="AD42">
        <v>10</v>
      </c>
      <c r="AJ42" s="1" t="s">
        <v>442</v>
      </c>
      <c r="AK42" s="1" t="s">
        <v>446</v>
      </c>
      <c r="AL42" s="1">
        <v>6</v>
      </c>
    </row>
    <row r="43" spans="1:38" x14ac:dyDescent="0.25">
      <c r="A43" t="s">
        <v>7</v>
      </c>
      <c r="B43" t="s">
        <v>441</v>
      </c>
      <c r="C43" t="s">
        <v>172</v>
      </c>
      <c r="D43">
        <v>3</v>
      </c>
      <c r="E43">
        <v>5</v>
      </c>
      <c r="F43">
        <v>7</v>
      </c>
      <c r="L43">
        <v>7</v>
      </c>
      <c r="R43">
        <v>6</v>
      </c>
      <c r="X43">
        <v>6</v>
      </c>
      <c r="AD43">
        <v>8</v>
      </c>
      <c r="AJ43" s="1" t="s">
        <v>442</v>
      </c>
      <c r="AK43" s="1" t="s">
        <v>446</v>
      </c>
      <c r="AL43" s="1">
        <v>5</v>
      </c>
    </row>
    <row r="44" spans="1:38" x14ac:dyDescent="0.25">
      <c r="A44" t="s">
        <v>11</v>
      </c>
      <c r="B44" t="s">
        <v>441</v>
      </c>
      <c r="C44" t="s">
        <v>172</v>
      </c>
      <c r="D44">
        <v>3</v>
      </c>
      <c r="E44">
        <v>6</v>
      </c>
      <c r="F44">
        <v>10</v>
      </c>
      <c r="L44">
        <v>10</v>
      </c>
      <c r="R44">
        <v>8</v>
      </c>
      <c r="X44">
        <v>2</v>
      </c>
      <c r="AD44">
        <v>2</v>
      </c>
      <c r="AJ44" s="1" t="s">
        <v>442</v>
      </c>
      <c r="AK44" s="1" t="s">
        <v>446</v>
      </c>
      <c r="AL44" s="1">
        <v>6</v>
      </c>
    </row>
    <row r="45" spans="1:38" x14ac:dyDescent="0.25">
      <c r="A45" t="s">
        <v>16</v>
      </c>
      <c r="B45" t="s">
        <v>441</v>
      </c>
      <c r="C45" t="s">
        <v>172</v>
      </c>
      <c r="D45">
        <v>3</v>
      </c>
      <c r="E45">
        <v>5</v>
      </c>
      <c r="F45">
        <v>8</v>
      </c>
      <c r="L45">
        <v>10</v>
      </c>
      <c r="R45">
        <v>7</v>
      </c>
      <c r="X45">
        <v>10</v>
      </c>
      <c r="AD45">
        <v>7</v>
      </c>
      <c r="AJ45" s="1" t="s">
        <v>442</v>
      </c>
      <c r="AK45" s="1" t="s">
        <v>446</v>
      </c>
      <c r="AL45" s="1">
        <v>5</v>
      </c>
    </row>
    <row r="46" spans="1:38" x14ac:dyDescent="0.25">
      <c r="A46" t="s">
        <v>21</v>
      </c>
      <c r="B46" t="s">
        <v>441</v>
      </c>
      <c r="C46" t="s">
        <v>172</v>
      </c>
      <c r="D46">
        <v>3</v>
      </c>
      <c r="E46">
        <v>6</v>
      </c>
      <c r="F46">
        <v>3</v>
      </c>
      <c r="L46">
        <v>2</v>
      </c>
      <c r="R46">
        <v>7</v>
      </c>
      <c r="X46">
        <v>2</v>
      </c>
      <c r="AD46">
        <v>3</v>
      </c>
      <c r="AJ46" s="1" t="s">
        <v>442</v>
      </c>
      <c r="AK46" s="1" t="s">
        <v>446</v>
      </c>
      <c r="AL46" s="1">
        <v>6</v>
      </c>
    </row>
    <row r="47" spans="1:38" x14ac:dyDescent="0.25">
      <c r="A47" t="s">
        <v>26</v>
      </c>
      <c r="B47" t="s">
        <v>441</v>
      </c>
      <c r="C47" t="s">
        <v>172</v>
      </c>
      <c r="D47">
        <v>3</v>
      </c>
      <c r="E47">
        <v>5</v>
      </c>
      <c r="F47">
        <v>8</v>
      </c>
      <c r="L47">
        <v>8</v>
      </c>
      <c r="R47">
        <v>3</v>
      </c>
      <c r="X47">
        <v>5</v>
      </c>
      <c r="AD47">
        <v>8</v>
      </c>
      <c r="AJ47" s="1" t="s">
        <v>442</v>
      </c>
      <c r="AK47" s="1" t="s">
        <v>446</v>
      </c>
      <c r="AL47" s="1">
        <v>5</v>
      </c>
    </row>
    <row r="48" spans="1:38" x14ac:dyDescent="0.25">
      <c r="A48" t="s">
        <v>31</v>
      </c>
      <c r="B48" t="s">
        <v>441</v>
      </c>
      <c r="C48" t="s">
        <v>172</v>
      </c>
      <c r="D48">
        <v>3</v>
      </c>
      <c r="E48">
        <v>6</v>
      </c>
      <c r="F48">
        <v>8</v>
      </c>
      <c r="L48">
        <v>8</v>
      </c>
      <c r="R48">
        <v>0</v>
      </c>
      <c r="X48">
        <v>10</v>
      </c>
      <c r="AD48">
        <v>10</v>
      </c>
      <c r="AJ48" s="1" t="s">
        <v>442</v>
      </c>
      <c r="AK48" s="1" t="s">
        <v>446</v>
      </c>
      <c r="AL48" s="1">
        <v>6</v>
      </c>
    </row>
    <row r="49" spans="1:38" x14ac:dyDescent="0.25">
      <c r="A49" t="s">
        <v>36</v>
      </c>
      <c r="B49" t="s">
        <v>441</v>
      </c>
      <c r="C49" t="s">
        <v>172</v>
      </c>
      <c r="D49">
        <v>3</v>
      </c>
      <c r="E49">
        <v>5</v>
      </c>
      <c r="F49">
        <v>5</v>
      </c>
      <c r="L49">
        <v>8</v>
      </c>
      <c r="R49">
        <v>10</v>
      </c>
      <c r="X49">
        <v>10</v>
      </c>
      <c r="AD49">
        <v>10</v>
      </c>
      <c r="AJ49" s="1" t="s">
        <v>442</v>
      </c>
      <c r="AK49" s="1" t="s">
        <v>446</v>
      </c>
      <c r="AL49" s="1">
        <v>5</v>
      </c>
    </row>
    <row r="50" spans="1:38" x14ac:dyDescent="0.25">
      <c r="A50" t="s">
        <v>41</v>
      </c>
      <c r="B50" t="s">
        <v>441</v>
      </c>
      <c r="C50" t="s">
        <v>172</v>
      </c>
      <c r="D50">
        <v>3</v>
      </c>
      <c r="E50">
        <v>5</v>
      </c>
      <c r="F50">
        <v>10</v>
      </c>
      <c r="L50">
        <v>5</v>
      </c>
      <c r="R50">
        <v>10</v>
      </c>
      <c r="X50">
        <v>10</v>
      </c>
      <c r="AD50">
        <v>10</v>
      </c>
      <c r="AJ50" s="1" t="s">
        <v>442</v>
      </c>
      <c r="AK50" s="1" t="s">
        <v>446</v>
      </c>
      <c r="AL50" s="1">
        <v>5</v>
      </c>
    </row>
    <row r="51" spans="1:38" x14ac:dyDescent="0.25">
      <c r="A51" t="s">
        <v>46</v>
      </c>
      <c r="B51" t="s">
        <v>441</v>
      </c>
      <c r="C51" t="s">
        <v>172</v>
      </c>
      <c r="D51">
        <v>3</v>
      </c>
      <c r="E51">
        <v>6</v>
      </c>
      <c r="F51">
        <v>7</v>
      </c>
      <c r="L51">
        <v>3</v>
      </c>
      <c r="R51">
        <v>8</v>
      </c>
      <c r="X51">
        <v>0</v>
      </c>
      <c r="AD51">
        <v>6</v>
      </c>
      <c r="AJ51" s="1" t="s">
        <v>442</v>
      </c>
      <c r="AK51" s="1" t="s">
        <v>446</v>
      </c>
      <c r="AL51" s="1">
        <v>6</v>
      </c>
    </row>
    <row r="52" spans="1:38" x14ac:dyDescent="0.25">
      <c r="A52" t="s">
        <v>0</v>
      </c>
      <c r="B52" t="s">
        <v>444</v>
      </c>
      <c r="C52" t="s">
        <v>167</v>
      </c>
      <c r="D52">
        <v>3</v>
      </c>
      <c r="E52">
        <v>5</v>
      </c>
      <c r="F52">
        <v>5</v>
      </c>
      <c r="G52">
        <v>531</v>
      </c>
      <c r="H52">
        <v>531</v>
      </c>
      <c r="I52">
        <v>1</v>
      </c>
      <c r="J52">
        <f>(1331/128000)*100</f>
        <v>1.03984375</v>
      </c>
      <c r="K52">
        <v>2</v>
      </c>
      <c r="L52">
        <v>7</v>
      </c>
      <c r="M52">
        <v>0</v>
      </c>
      <c r="N52">
        <v>0</v>
      </c>
      <c r="O52">
        <v>0</v>
      </c>
      <c r="P52">
        <f>(1331/128000)*100</f>
        <v>1.03984375</v>
      </c>
      <c r="Q52">
        <v>0</v>
      </c>
      <c r="R52">
        <v>4</v>
      </c>
      <c r="S52">
        <v>0</v>
      </c>
      <c r="T52">
        <v>0</v>
      </c>
      <c r="U52">
        <v>0</v>
      </c>
      <c r="V52">
        <f>(1331/128000)*100</f>
        <v>1.03984375</v>
      </c>
      <c r="W52">
        <v>0</v>
      </c>
      <c r="X52">
        <v>3</v>
      </c>
      <c r="Y52">
        <v>10</v>
      </c>
      <c r="Z52">
        <v>10</v>
      </c>
      <c r="AA52">
        <v>1</v>
      </c>
      <c r="AB52">
        <f>(2041/128000)*100</f>
        <v>1.59453125</v>
      </c>
      <c r="AC52">
        <v>2</v>
      </c>
      <c r="AD52">
        <v>10</v>
      </c>
      <c r="AE52">
        <v>6</v>
      </c>
      <c r="AF52">
        <v>6</v>
      </c>
      <c r="AG52">
        <v>1</v>
      </c>
      <c r="AH52">
        <f>(2247/128000)*100</f>
        <v>1.7554687499999999</v>
      </c>
      <c r="AI52">
        <v>2</v>
      </c>
      <c r="AJ52" s="1" t="s">
        <v>442</v>
      </c>
      <c r="AK52" s="1" t="s">
        <v>446</v>
      </c>
      <c r="AL52" s="1">
        <v>5</v>
      </c>
    </row>
    <row r="53" spans="1:38" x14ac:dyDescent="0.25">
      <c r="A53" t="s">
        <v>7</v>
      </c>
      <c r="B53" t="s">
        <v>444</v>
      </c>
      <c r="C53" t="s">
        <v>167</v>
      </c>
      <c r="D53">
        <v>3</v>
      </c>
      <c r="E53">
        <v>6</v>
      </c>
      <c r="F53">
        <v>3</v>
      </c>
      <c r="G53">
        <f>666+232</f>
        <v>898</v>
      </c>
      <c r="H53">
        <f>666+232</f>
        <v>898</v>
      </c>
      <c r="I53">
        <v>1</v>
      </c>
      <c r="J53">
        <f>((898+4443)/128000)*100</f>
        <v>4.1726562500000002</v>
      </c>
      <c r="K53">
        <v>2</v>
      </c>
      <c r="L53">
        <v>3</v>
      </c>
      <c r="M53">
        <v>0</v>
      </c>
      <c r="N53">
        <v>0</v>
      </c>
      <c r="O53">
        <v>0</v>
      </c>
      <c r="P53">
        <f>((898+4443)/128000)*100</f>
        <v>4.1726562500000002</v>
      </c>
      <c r="Q53">
        <v>0</v>
      </c>
      <c r="R53">
        <v>10</v>
      </c>
      <c r="S53">
        <v>0</v>
      </c>
      <c r="T53">
        <v>0</v>
      </c>
      <c r="U53">
        <v>0</v>
      </c>
      <c r="V53">
        <f>((898+4443)/128000)*100</f>
        <v>4.1726562500000002</v>
      </c>
      <c r="W53">
        <v>0</v>
      </c>
      <c r="X53">
        <v>10</v>
      </c>
      <c r="Y53">
        <v>0</v>
      </c>
      <c r="Z53">
        <v>0</v>
      </c>
      <c r="AA53">
        <v>0</v>
      </c>
      <c r="AB53">
        <f>((898+4443)/128000)*100</f>
        <v>4.1726562500000002</v>
      </c>
      <c r="AC53">
        <v>0</v>
      </c>
      <c r="AD53">
        <v>10</v>
      </c>
      <c r="AE53">
        <v>0</v>
      </c>
      <c r="AF53">
        <v>0</v>
      </c>
      <c r="AG53">
        <v>0</v>
      </c>
      <c r="AH53">
        <f>((898+4443)/128000)*100</f>
        <v>4.1726562500000002</v>
      </c>
      <c r="AI53">
        <v>0</v>
      </c>
      <c r="AJ53" s="1" t="s">
        <v>442</v>
      </c>
      <c r="AK53" s="1" t="s">
        <v>446</v>
      </c>
      <c r="AL53" s="1">
        <v>6</v>
      </c>
    </row>
    <row r="54" spans="1:38" x14ac:dyDescent="0.25">
      <c r="A54" t="s">
        <v>11</v>
      </c>
      <c r="B54" t="s">
        <v>444</v>
      </c>
      <c r="C54" t="s">
        <v>167</v>
      </c>
      <c r="D54">
        <v>3</v>
      </c>
      <c r="E54">
        <v>5</v>
      </c>
      <c r="F54">
        <v>5</v>
      </c>
      <c r="G54">
        <v>474</v>
      </c>
      <c r="H54">
        <f>474+43</f>
        <v>517</v>
      </c>
      <c r="I54">
        <v>2</v>
      </c>
      <c r="J54">
        <f>(1267/128000)*100</f>
        <v>0.98984374999999991</v>
      </c>
      <c r="K54">
        <v>2</v>
      </c>
      <c r="L54">
        <v>5</v>
      </c>
      <c r="M54">
        <v>15</v>
      </c>
      <c r="N54">
        <v>15</v>
      </c>
      <c r="O54">
        <v>1</v>
      </c>
      <c r="P54">
        <f>(1882/128000)*100</f>
        <v>1.4703124999999999</v>
      </c>
      <c r="Q54">
        <v>2</v>
      </c>
      <c r="R54">
        <v>6</v>
      </c>
      <c r="S54">
        <v>27</v>
      </c>
      <c r="T54">
        <v>27</v>
      </c>
      <c r="U54">
        <v>1</v>
      </c>
      <c r="V54">
        <f>(2609/128000)*100</f>
        <v>2.0382812499999998</v>
      </c>
      <c r="W54">
        <v>2</v>
      </c>
      <c r="X54">
        <v>10</v>
      </c>
      <c r="Y54">
        <v>25</v>
      </c>
      <c r="Z54">
        <v>25</v>
      </c>
      <c r="AA54">
        <v>1</v>
      </c>
      <c r="AB54">
        <f>(3434/128000)*100</f>
        <v>2.6828125000000003</v>
      </c>
      <c r="AC54">
        <v>3</v>
      </c>
      <c r="AD54">
        <v>10</v>
      </c>
      <c r="AE54">
        <v>27</v>
      </c>
      <c r="AF54">
        <v>27</v>
      </c>
      <c r="AG54">
        <v>1</v>
      </c>
      <c r="AH54">
        <f>(4011/128000)*100</f>
        <v>3.1335937500000002</v>
      </c>
      <c r="AI54">
        <v>2</v>
      </c>
      <c r="AJ54" s="1" t="s">
        <v>442</v>
      </c>
      <c r="AK54" s="1" t="s">
        <v>446</v>
      </c>
      <c r="AL54" s="1">
        <v>5</v>
      </c>
    </row>
    <row r="55" spans="1:38" x14ac:dyDescent="0.25">
      <c r="A55" t="s">
        <v>16</v>
      </c>
      <c r="B55" t="s">
        <v>444</v>
      </c>
      <c r="C55" t="s">
        <v>167</v>
      </c>
      <c r="D55">
        <v>3</v>
      </c>
      <c r="E55">
        <v>6</v>
      </c>
      <c r="F55">
        <v>0</v>
      </c>
      <c r="G55">
        <v>463</v>
      </c>
      <c r="H55">
        <f>463+13+10</f>
        <v>486</v>
      </c>
      <c r="I55">
        <v>3</v>
      </c>
      <c r="J55">
        <f>(2486/128000)*100</f>
        <v>1.9421875000000002</v>
      </c>
      <c r="K55">
        <v>2</v>
      </c>
      <c r="L55">
        <v>0</v>
      </c>
      <c r="M55">
        <v>25</v>
      </c>
      <c r="N55">
        <v>25</v>
      </c>
      <c r="O55">
        <v>1</v>
      </c>
      <c r="P55">
        <f>(3111/128000)*100</f>
        <v>2.4304687500000002</v>
      </c>
      <c r="Q55">
        <v>2</v>
      </c>
      <c r="R55">
        <v>0</v>
      </c>
      <c r="S55">
        <v>58</v>
      </c>
      <c r="T55">
        <v>58</v>
      </c>
      <c r="U55">
        <v>1</v>
      </c>
      <c r="V55">
        <f>(4069/128000)*100</f>
        <v>3.1789062499999998</v>
      </c>
      <c r="W55">
        <v>2</v>
      </c>
      <c r="X55">
        <v>0</v>
      </c>
      <c r="Y55">
        <v>7</v>
      </c>
      <c r="Z55">
        <f>7+3+7</f>
        <v>17</v>
      </c>
      <c r="AA55">
        <v>3</v>
      </c>
      <c r="AB55">
        <f>(6586/128000)*100</f>
        <v>5.1453125000000002</v>
      </c>
      <c r="AC55">
        <v>2</v>
      </c>
      <c r="AD55">
        <v>0</v>
      </c>
      <c r="AE55">
        <v>19</v>
      </c>
      <c r="AF55">
        <v>19</v>
      </c>
      <c r="AG55">
        <v>1</v>
      </c>
      <c r="AH55">
        <f>(7205/128000)*100</f>
        <v>5.62890625</v>
      </c>
      <c r="AI55">
        <v>2</v>
      </c>
      <c r="AJ55" s="1" t="s">
        <v>442</v>
      </c>
      <c r="AK55" s="1" t="s">
        <v>446</v>
      </c>
      <c r="AL55" s="1">
        <v>6</v>
      </c>
    </row>
    <row r="56" spans="1:38" x14ac:dyDescent="0.25">
      <c r="A56" t="s">
        <v>21</v>
      </c>
      <c r="B56" t="s">
        <v>444</v>
      </c>
      <c r="C56" t="s">
        <v>167</v>
      </c>
      <c r="D56">
        <v>3</v>
      </c>
      <c r="E56">
        <v>5</v>
      </c>
      <c r="F56">
        <v>7</v>
      </c>
      <c r="G56">
        <v>446</v>
      </c>
      <c r="H56">
        <v>446</v>
      </c>
      <c r="I56">
        <v>1</v>
      </c>
      <c r="J56">
        <f>(946/128000)*100</f>
        <v>0.73906249999999996</v>
      </c>
      <c r="K56">
        <v>2</v>
      </c>
      <c r="L56">
        <v>7</v>
      </c>
      <c r="M56">
        <v>18</v>
      </c>
      <c r="N56">
        <v>18</v>
      </c>
      <c r="O56">
        <v>1</v>
      </c>
      <c r="P56">
        <f>(1514/128000)*100</f>
        <v>1.1828125</v>
      </c>
      <c r="Q56">
        <v>2</v>
      </c>
      <c r="R56">
        <v>8</v>
      </c>
      <c r="S56">
        <v>40</v>
      </c>
      <c r="T56">
        <v>40</v>
      </c>
      <c r="U56">
        <v>1</v>
      </c>
      <c r="V56">
        <f>(2477/128000)*100</f>
        <v>1.9351562499999999</v>
      </c>
      <c r="W56">
        <v>2</v>
      </c>
      <c r="X56">
        <v>10</v>
      </c>
      <c r="Y56">
        <v>23</v>
      </c>
      <c r="Z56">
        <v>23</v>
      </c>
      <c r="AA56">
        <v>1</v>
      </c>
      <c r="AB56">
        <f>(2477/128000)*100</f>
        <v>1.9351562499999999</v>
      </c>
      <c r="AC56">
        <v>2</v>
      </c>
      <c r="AD56">
        <v>10</v>
      </c>
      <c r="AE56">
        <v>60</v>
      </c>
      <c r="AF56">
        <v>60</v>
      </c>
      <c r="AG56">
        <v>1</v>
      </c>
      <c r="AH56">
        <f>(3037/128000)*100</f>
        <v>2.3726562499999999</v>
      </c>
      <c r="AI56">
        <v>2</v>
      </c>
      <c r="AJ56" s="1" t="s">
        <v>442</v>
      </c>
      <c r="AK56" s="1" t="s">
        <v>446</v>
      </c>
      <c r="AL56" s="1">
        <v>5</v>
      </c>
    </row>
    <row r="57" spans="1:38" x14ac:dyDescent="0.25">
      <c r="A57" t="s">
        <v>26</v>
      </c>
      <c r="B57" t="s">
        <v>444</v>
      </c>
      <c r="C57" t="s">
        <v>167</v>
      </c>
      <c r="D57">
        <v>3</v>
      </c>
      <c r="E57">
        <v>6</v>
      </c>
      <c r="F57">
        <v>3</v>
      </c>
      <c r="G57">
        <v>446</v>
      </c>
      <c r="H57">
        <v>446</v>
      </c>
      <c r="I57">
        <v>1</v>
      </c>
      <c r="J57">
        <f>(946/128000)*100</f>
        <v>0.73906249999999996</v>
      </c>
      <c r="K57">
        <v>2</v>
      </c>
      <c r="L57">
        <v>3</v>
      </c>
      <c r="M57">
        <v>18</v>
      </c>
      <c r="N57">
        <f>18+27</f>
        <v>45</v>
      </c>
      <c r="O57">
        <v>2</v>
      </c>
      <c r="P57">
        <f>((946+45+550)/128000)*100</f>
        <v>1.20390625</v>
      </c>
      <c r="Q57">
        <v>2</v>
      </c>
      <c r="R57">
        <v>8</v>
      </c>
      <c r="S57">
        <v>40</v>
      </c>
      <c r="T57">
        <v>40</v>
      </c>
      <c r="U57">
        <v>1</v>
      </c>
      <c r="V57">
        <f>((946+45+550+940)/128000)*100</f>
        <v>1.93828125</v>
      </c>
      <c r="W57">
        <v>2</v>
      </c>
      <c r="X57">
        <v>10</v>
      </c>
      <c r="Y57">
        <v>23</v>
      </c>
      <c r="Z57">
        <v>23</v>
      </c>
      <c r="AA57">
        <v>1</v>
      </c>
      <c r="AB57">
        <f>((946+45+550+940+1223)/128000)*100</f>
        <v>2.8937500000000003</v>
      </c>
      <c r="AC57">
        <v>2</v>
      </c>
      <c r="AD57">
        <v>10</v>
      </c>
      <c r="AE57">
        <v>0</v>
      </c>
      <c r="AF57">
        <v>0</v>
      </c>
      <c r="AG57">
        <v>0</v>
      </c>
      <c r="AH57">
        <f>((946+45+550+940+1223)/128000)*100</f>
        <v>2.8937500000000003</v>
      </c>
      <c r="AI57">
        <v>0</v>
      </c>
      <c r="AJ57" s="1" t="s">
        <v>442</v>
      </c>
      <c r="AK57" s="1" t="s">
        <v>446</v>
      </c>
      <c r="AL57" s="1">
        <v>6</v>
      </c>
    </row>
    <row r="58" spans="1:38" x14ac:dyDescent="0.25">
      <c r="A58" t="s">
        <v>31</v>
      </c>
      <c r="B58" t="s">
        <v>444</v>
      </c>
      <c r="C58" t="s">
        <v>167</v>
      </c>
      <c r="D58">
        <v>3</v>
      </c>
      <c r="E58">
        <v>5</v>
      </c>
      <c r="F58">
        <v>10</v>
      </c>
      <c r="G58">
        <v>448</v>
      </c>
      <c r="H58">
        <v>448</v>
      </c>
      <c r="I58">
        <v>1</v>
      </c>
      <c r="J58">
        <f>(1148/128000)*100</f>
        <v>0.89687499999999998</v>
      </c>
      <c r="K58">
        <v>2</v>
      </c>
      <c r="L58">
        <v>5</v>
      </c>
      <c r="M58">
        <v>5</v>
      </c>
      <c r="N58">
        <v>5</v>
      </c>
      <c r="O58">
        <v>1</v>
      </c>
      <c r="P58">
        <f>(1703/128000)*100</f>
        <v>1.3304687500000001</v>
      </c>
      <c r="Q58">
        <v>2</v>
      </c>
      <c r="R58">
        <v>8</v>
      </c>
      <c r="S58">
        <v>8</v>
      </c>
      <c r="T58">
        <v>8</v>
      </c>
      <c r="U58">
        <v>1</v>
      </c>
      <c r="V58">
        <f>(2511/128000)*100</f>
        <v>1.9617187500000002</v>
      </c>
      <c r="W58">
        <v>2</v>
      </c>
      <c r="X58">
        <v>10</v>
      </c>
      <c r="Y58">
        <v>0</v>
      </c>
      <c r="Z58">
        <v>0</v>
      </c>
      <c r="AA58">
        <v>0</v>
      </c>
      <c r="AB58">
        <f>(2511/128000)*100</f>
        <v>1.9617187500000002</v>
      </c>
      <c r="AC58">
        <v>0</v>
      </c>
      <c r="AD58">
        <v>10</v>
      </c>
      <c r="AE58">
        <v>25</v>
      </c>
      <c r="AF58">
        <v>25</v>
      </c>
      <c r="AG58">
        <v>1</v>
      </c>
      <c r="AH58">
        <f>(3136/128000)*100</f>
        <v>2.4500000000000002</v>
      </c>
      <c r="AI58">
        <v>2</v>
      </c>
      <c r="AJ58" s="1" t="s">
        <v>442</v>
      </c>
      <c r="AK58" s="1" t="s">
        <v>446</v>
      </c>
      <c r="AL58" s="1">
        <v>5</v>
      </c>
    </row>
    <row r="59" spans="1:38" x14ac:dyDescent="0.25">
      <c r="A59" t="s">
        <v>36</v>
      </c>
      <c r="B59" t="s">
        <v>444</v>
      </c>
      <c r="C59" t="s">
        <v>167</v>
      </c>
      <c r="D59">
        <v>3</v>
      </c>
      <c r="E59">
        <v>6</v>
      </c>
      <c r="F59">
        <v>10</v>
      </c>
      <c r="G59">
        <v>502</v>
      </c>
      <c r="H59">
        <f>502+10</f>
        <v>512</v>
      </c>
      <c r="I59">
        <v>2</v>
      </c>
      <c r="J59">
        <f>(1312/128000)*100</f>
        <v>1.0250000000000001</v>
      </c>
      <c r="K59">
        <v>2</v>
      </c>
      <c r="L59">
        <v>5</v>
      </c>
      <c r="M59">
        <v>8</v>
      </c>
      <c r="N59">
        <v>8</v>
      </c>
      <c r="O59">
        <v>1</v>
      </c>
      <c r="P59">
        <f>(3952/128000)*100</f>
        <v>3.0874999999999999</v>
      </c>
      <c r="Q59">
        <v>2.5</v>
      </c>
      <c r="R59">
        <v>5</v>
      </c>
      <c r="S59">
        <v>11</v>
      </c>
      <c r="T59">
        <v>11</v>
      </c>
      <c r="U59">
        <v>1</v>
      </c>
      <c r="V59">
        <f>(3244/128000)*100</f>
        <v>2.5343750000000003</v>
      </c>
      <c r="W59">
        <v>2</v>
      </c>
      <c r="X59">
        <v>10</v>
      </c>
      <c r="Y59">
        <v>1</v>
      </c>
      <c r="Z59">
        <v>1</v>
      </c>
      <c r="AA59">
        <v>1</v>
      </c>
      <c r="AB59">
        <f>(2113/128000)*100</f>
        <v>1.6507812500000001</v>
      </c>
      <c r="AC59">
        <v>1</v>
      </c>
      <c r="AD59">
        <v>6</v>
      </c>
      <c r="AE59">
        <v>13</v>
      </c>
      <c r="AF59">
        <f>13+7</f>
        <v>20</v>
      </c>
      <c r="AG59">
        <v>2</v>
      </c>
      <c r="AH59">
        <f>(2833/128000)*100</f>
        <v>2.2132812500000001</v>
      </c>
      <c r="AI59">
        <v>2</v>
      </c>
      <c r="AJ59" s="1" t="s">
        <v>442</v>
      </c>
      <c r="AK59" s="1" t="s">
        <v>446</v>
      </c>
      <c r="AL59" s="1">
        <v>6</v>
      </c>
    </row>
    <row r="60" spans="1:38" x14ac:dyDescent="0.25">
      <c r="A60" t="s">
        <v>41</v>
      </c>
      <c r="B60" t="s">
        <v>444</v>
      </c>
      <c r="C60" t="s">
        <v>167</v>
      </c>
      <c r="D60">
        <v>3</v>
      </c>
      <c r="E60">
        <v>6</v>
      </c>
      <c r="F60">
        <v>10</v>
      </c>
      <c r="G60">
        <v>450</v>
      </c>
      <c r="H60">
        <v>450</v>
      </c>
      <c r="I60">
        <v>1</v>
      </c>
      <c r="J60">
        <f>(1050/128000)*100</f>
        <v>0.8203125</v>
      </c>
      <c r="K60">
        <v>2</v>
      </c>
      <c r="L60">
        <v>10</v>
      </c>
      <c r="M60">
        <v>4</v>
      </c>
      <c r="N60">
        <f>4+3</f>
        <v>7</v>
      </c>
      <c r="O60">
        <v>2</v>
      </c>
      <c r="P60">
        <f>(2057/128000)*100</f>
        <v>1.6070312499999999</v>
      </c>
      <c r="Q60">
        <v>2</v>
      </c>
      <c r="R60">
        <v>10</v>
      </c>
      <c r="S60">
        <v>11</v>
      </c>
      <c r="T60">
        <v>11</v>
      </c>
      <c r="U60">
        <v>1</v>
      </c>
      <c r="V60">
        <f>(2718/128000)*100</f>
        <v>2.1234375000000001</v>
      </c>
      <c r="W60">
        <v>2</v>
      </c>
      <c r="X60">
        <v>10</v>
      </c>
      <c r="Y60">
        <v>10</v>
      </c>
      <c r="Z60">
        <v>10</v>
      </c>
      <c r="AA60">
        <v>1</v>
      </c>
      <c r="AB60">
        <f>(3528/128000)*100</f>
        <v>2.7562500000000001</v>
      </c>
      <c r="AC60">
        <v>2</v>
      </c>
      <c r="AD60">
        <v>8</v>
      </c>
      <c r="AE60">
        <v>59</v>
      </c>
      <c r="AF60">
        <v>59</v>
      </c>
      <c r="AG60">
        <v>1</v>
      </c>
      <c r="AH60">
        <f>(4087/128000)*100</f>
        <v>3.1929687499999999</v>
      </c>
      <c r="AI60">
        <v>2.5</v>
      </c>
      <c r="AJ60" s="1" t="s">
        <v>442</v>
      </c>
      <c r="AK60" s="1" t="s">
        <v>446</v>
      </c>
      <c r="AL60" s="1">
        <v>6</v>
      </c>
    </row>
    <row r="61" spans="1:38" x14ac:dyDescent="0.25">
      <c r="A61" t="s">
        <v>46</v>
      </c>
      <c r="B61" t="s">
        <v>444</v>
      </c>
      <c r="C61" t="s">
        <v>167</v>
      </c>
      <c r="D61">
        <v>3</v>
      </c>
      <c r="E61">
        <v>5</v>
      </c>
      <c r="F61">
        <v>6</v>
      </c>
      <c r="G61">
        <f>502+23</f>
        <v>525</v>
      </c>
      <c r="H61">
        <v>525</v>
      </c>
      <c r="I61">
        <v>1</v>
      </c>
      <c r="J61">
        <f>(925/128000)*100</f>
        <v>0.72265625</v>
      </c>
      <c r="K61">
        <v>2</v>
      </c>
      <c r="L61">
        <v>6</v>
      </c>
      <c r="M61">
        <v>18</v>
      </c>
      <c r="N61">
        <v>18</v>
      </c>
      <c r="O61">
        <v>1</v>
      </c>
      <c r="P61">
        <f>(1393/128000)*100</f>
        <v>1.0882812500000001</v>
      </c>
      <c r="Q61">
        <v>2</v>
      </c>
      <c r="R61">
        <v>5</v>
      </c>
      <c r="S61">
        <v>41</v>
      </c>
      <c r="T61">
        <v>41</v>
      </c>
      <c r="U61">
        <v>1</v>
      </c>
      <c r="V61">
        <f>(1834/128000)*100</f>
        <v>1.4328125</v>
      </c>
      <c r="W61">
        <v>2</v>
      </c>
      <c r="X61">
        <v>8</v>
      </c>
      <c r="Y61">
        <v>38</v>
      </c>
      <c r="Z61">
        <v>38</v>
      </c>
      <c r="AA61">
        <v>1</v>
      </c>
      <c r="AB61">
        <f>(2072/128000)*100</f>
        <v>1.6187500000000001</v>
      </c>
      <c r="AC61">
        <v>2.5</v>
      </c>
      <c r="AD61">
        <v>0</v>
      </c>
      <c r="AE61">
        <v>59</v>
      </c>
      <c r="AF61">
        <v>59</v>
      </c>
      <c r="AG61">
        <v>1</v>
      </c>
      <c r="AH61">
        <f>(2481/128000)*100</f>
        <v>1.93828125</v>
      </c>
      <c r="AI61">
        <v>2</v>
      </c>
      <c r="AJ61" s="1" t="s">
        <v>442</v>
      </c>
      <c r="AK61" s="1" t="s">
        <v>446</v>
      </c>
      <c r="AL61" s="1">
        <v>5</v>
      </c>
    </row>
    <row r="62" spans="1:38" x14ac:dyDescent="0.25">
      <c r="A62" t="s">
        <v>0</v>
      </c>
      <c r="B62" t="s">
        <v>444</v>
      </c>
      <c r="C62" t="s">
        <v>447</v>
      </c>
      <c r="D62">
        <v>4</v>
      </c>
      <c r="E62">
        <v>8</v>
      </c>
      <c r="F62">
        <v>3</v>
      </c>
      <c r="G62">
        <v>281</v>
      </c>
      <c r="H62">
        <v>281</v>
      </c>
      <c r="I62">
        <v>1</v>
      </c>
      <c r="J62">
        <f>(881/128000)*100</f>
        <v>0.68828124999999996</v>
      </c>
      <c r="K62">
        <v>2</v>
      </c>
      <c r="L62">
        <v>3</v>
      </c>
      <c r="M62">
        <v>6</v>
      </c>
      <c r="N62">
        <v>6</v>
      </c>
      <c r="O62">
        <v>1</v>
      </c>
      <c r="P62">
        <f>(1537/128000)*100</f>
        <v>1.2007812499999999</v>
      </c>
      <c r="Q62">
        <v>2</v>
      </c>
      <c r="R62">
        <v>4</v>
      </c>
      <c r="S62">
        <v>11</v>
      </c>
      <c r="T62">
        <v>11</v>
      </c>
      <c r="U62">
        <v>1</v>
      </c>
      <c r="V62">
        <f>(2148/128000)*100</f>
        <v>1.6781250000000001</v>
      </c>
      <c r="W62">
        <v>2</v>
      </c>
      <c r="X62">
        <v>10</v>
      </c>
      <c r="Y62">
        <v>9</v>
      </c>
      <c r="Z62">
        <v>9</v>
      </c>
      <c r="AA62">
        <v>1</v>
      </c>
      <c r="AB62">
        <f>(2557/128000)*100</f>
        <v>1.9976562499999999</v>
      </c>
      <c r="AC62">
        <v>2</v>
      </c>
      <c r="AD62">
        <v>10</v>
      </c>
      <c r="AE62">
        <v>0</v>
      </c>
      <c r="AF62">
        <v>0</v>
      </c>
      <c r="AG62">
        <v>0</v>
      </c>
      <c r="AH62">
        <f>(2557/128000)*100</f>
        <v>1.9976562499999999</v>
      </c>
      <c r="AI62">
        <v>0</v>
      </c>
      <c r="AJ62" s="1" t="s">
        <v>448</v>
      </c>
      <c r="AK62" s="1" t="s">
        <v>449</v>
      </c>
      <c r="AL62" s="1">
        <v>8</v>
      </c>
    </row>
    <row r="63" spans="1:38" x14ac:dyDescent="0.25">
      <c r="A63" t="s">
        <v>7</v>
      </c>
      <c r="B63" t="s">
        <v>444</v>
      </c>
      <c r="C63" t="s">
        <v>447</v>
      </c>
      <c r="D63">
        <v>4</v>
      </c>
      <c r="E63">
        <v>7</v>
      </c>
      <c r="F63">
        <v>8</v>
      </c>
      <c r="G63">
        <f>351</f>
        <v>351</v>
      </c>
      <c r="H63">
        <v>351</v>
      </c>
      <c r="I63">
        <v>1</v>
      </c>
      <c r="J63">
        <f>((351+499+35)/128000)*100</f>
        <v>0.69140625</v>
      </c>
      <c r="K63">
        <v>2</v>
      </c>
      <c r="L63">
        <v>8</v>
      </c>
      <c r="M63">
        <v>15</v>
      </c>
      <c r="N63">
        <v>15</v>
      </c>
      <c r="O63">
        <v>1</v>
      </c>
      <c r="P63">
        <f>((351+499+35)/128000)*100</f>
        <v>0.69140625</v>
      </c>
      <c r="Q63">
        <v>2</v>
      </c>
      <c r="R63">
        <v>8</v>
      </c>
      <c r="S63">
        <v>0</v>
      </c>
      <c r="T63">
        <v>0</v>
      </c>
      <c r="U63">
        <v>0</v>
      </c>
      <c r="V63">
        <f>((351+499+35)/128000)*100</f>
        <v>0.69140625</v>
      </c>
      <c r="W63">
        <v>0</v>
      </c>
      <c r="X63">
        <v>10</v>
      </c>
      <c r="Y63">
        <v>0</v>
      </c>
      <c r="Z63">
        <v>0</v>
      </c>
      <c r="AA63">
        <v>0</v>
      </c>
      <c r="AB63">
        <f>((351+499+35)/128000)*100</f>
        <v>0.69140625</v>
      </c>
      <c r="AC63">
        <v>0</v>
      </c>
      <c r="AD63">
        <v>10</v>
      </c>
      <c r="AE63">
        <v>0</v>
      </c>
      <c r="AF63">
        <v>0</v>
      </c>
      <c r="AG63">
        <v>0</v>
      </c>
      <c r="AH63">
        <f>((351+499+35)/128000)*100</f>
        <v>0.69140625</v>
      </c>
      <c r="AI63">
        <v>0</v>
      </c>
      <c r="AJ63" s="1" t="s">
        <v>448</v>
      </c>
      <c r="AK63" s="1" t="s">
        <v>449</v>
      </c>
      <c r="AL63" s="1">
        <v>7</v>
      </c>
    </row>
    <row r="64" spans="1:38" x14ac:dyDescent="0.25">
      <c r="A64" t="s">
        <v>11</v>
      </c>
      <c r="B64" t="s">
        <v>444</v>
      </c>
      <c r="C64" t="s">
        <v>447</v>
      </c>
      <c r="D64">
        <v>4</v>
      </c>
      <c r="E64">
        <v>8</v>
      </c>
      <c r="F64">
        <v>10</v>
      </c>
      <c r="G64">
        <v>305</v>
      </c>
      <c r="H64">
        <f>305+40</f>
        <v>345</v>
      </c>
      <c r="I64">
        <v>2</v>
      </c>
      <c r="J64">
        <f>(945/128000)*100</f>
        <v>0.73828125</v>
      </c>
      <c r="K64">
        <v>2</v>
      </c>
      <c r="L64">
        <v>10</v>
      </c>
      <c r="M64">
        <v>10</v>
      </c>
      <c r="N64">
        <v>10</v>
      </c>
      <c r="O64">
        <v>1</v>
      </c>
      <c r="P64">
        <f>(1455/128000)*100</f>
        <v>1.13671875</v>
      </c>
      <c r="Q64">
        <v>2</v>
      </c>
      <c r="R64">
        <v>10</v>
      </c>
      <c r="S64">
        <v>25</v>
      </c>
      <c r="T64">
        <v>25</v>
      </c>
      <c r="U64">
        <v>1</v>
      </c>
      <c r="V64">
        <f>(1780/128000)*100</f>
        <v>1.390625</v>
      </c>
      <c r="W64">
        <v>2</v>
      </c>
      <c r="X64">
        <v>10</v>
      </c>
      <c r="Y64">
        <v>24</v>
      </c>
      <c r="Z64">
        <v>24</v>
      </c>
      <c r="AA64">
        <v>1</v>
      </c>
      <c r="AB64">
        <f>(2454/128000)*100</f>
        <v>1.9171875</v>
      </c>
      <c r="AC64">
        <v>2</v>
      </c>
      <c r="AD64">
        <v>10</v>
      </c>
      <c r="AE64">
        <v>26</v>
      </c>
      <c r="AF64">
        <v>26</v>
      </c>
      <c r="AG64">
        <v>1</v>
      </c>
      <c r="AH64">
        <f>(2880/128000)*100</f>
        <v>2.25</v>
      </c>
      <c r="AI64">
        <v>2</v>
      </c>
      <c r="AJ64" s="1" t="s">
        <v>448</v>
      </c>
      <c r="AK64" s="1" t="s">
        <v>449</v>
      </c>
      <c r="AL64" s="1">
        <v>8</v>
      </c>
    </row>
    <row r="65" spans="1:38" x14ac:dyDescent="0.25">
      <c r="A65" t="s">
        <v>16</v>
      </c>
      <c r="B65" t="s">
        <v>444</v>
      </c>
      <c r="C65" t="s">
        <v>447</v>
      </c>
      <c r="D65">
        <v>4</v>
      </c>
      <c r="E65">
        <v>7</v>
      </c>
      <c r="F65">
        <v>9</v>
      </c>
      <c r="G65">
        <v>281</v>
      </c>
      <c r="H65">
        <f>281+23</f>
        <v>304</v>
      </c>
      <c r="I65">
        <v>2</v>
      </c>
      <c r="J65">
        <f>(1304/128000)*100</f>
        <v>1.01875</v>
      </c>
      <c r="K65">
        <v>2</v>
      </c>
      <c r="L65">
        <v>9</v>
      </c>
      <c r="M65">
        <v>31</v>
      </c>
      <c r="N65">
        <v>31</v>
      </c>
      <c r="O65">
        <v>1</v>
      </c>
      <c r="P65">
        <f>(1985/128000)*100</f>
        <v>1.55078125</v>
      </c>
      <c r="Q65">
        <v>2</v>
      </c>
      <c r="R65">
        <v>0</v>
      </c>
      <c r="S65">
        <v>32</v>
      </c>
      <c r="T65">
        <v>32</v>
      </c>
      <c r="U65">
        <v>1</v>
      </c>
      <c r="V65">
        <f>(2517/128000)*100</f>
        <v>1.9664062499999999</v>
      </c>
      <c r="W65">
        <v>2</v>
      </c>
      <c r="X65">
        <v>9</v>
      </c>
      <c r="Y65">
        <v>25</v>
      </c>
      <c r="Z65">
        <f>25+285</f>
        <v>310</v>
      </c>
      <c r="AA65">
        <v>2</v>
      </c>
      <c r="AB65">
        <f>(3827/128000)*100</f>
        <v>2.9898437499999999</v>
      </c>
      <c r="AC65">
        <v>3</v>
      </c>
      <c r="AD65">
        <v>2</v>
      </c>
      <c r="AJ65" s="1" t="s">
        <v>448</v>
      </c>
      <c r="AK65" s="1" t="s">
        <v>449</v>
      </c>
      <c r="AL65" s="1">
        <v>7</v>
      </c>
    </row>
    <row r="66" spans="1:38" x14ac:dyDescent="0.25">
      <c r="A66" t="s">
        <v>21</v>
      </c>
      <c r="B66" t="s">
        <v>444</v>
      </c>
      <c r="C66" t="s">
        <v>447</v>
      </c>
      <c r="D66">
        <v>4</v>
      </c>
      <c r="E66">
        <v>8</v>
      </c>
      <c r="F66">
        <v>7</v>
      </c>
      <c r="G66">
        <v>269</v>
      </c>
      <c r="H66">
        <v>269</v>
      </c>
      <c r="I66">
        <v>1</v>
      </c>
      <c r="J66">
        <f>(877/128000)*100</f>
        <v>0.68515625000000002</v>
      </c>
      <c r="K66">
        <v>2</v>
      </c>
      <c r="L66">
        <v>6</v>
      </c>
      <c r="M66">
        <v>14</v>
      </c>
      <c r="N66">
        <v>14</v>
      </c>
      <c r="O66">
        <v>1</v>
      </c>
      <c r="P66">
        <f>(1395/128000)*100</f>
        <v>1.08984375</v>
      </c>
      <c r="Q66">
        <v>2</v>
      </c>
      <c r="R66">
        <v>10</v>
      </c>
      <c r="S66">
        <v>41</v>
      </c>
      <c r="T66">
        <v>41</v>
      </c>
      <c r="U66">
        <v>1</v>
      </c>
      <c r="V66">
        <f>(1836/128000)*100</f>
        <v>1.434375</v>
      </c>
      <c r="W66">
        <v>2.5</v>
      </c>
      <c r="X66">
        <v>10</v>
      </c>
      <c r="Y66">
        <v>18</v>
      </c>
      <c r="Z66">
        <v>18</v>
      </c>
      <c r="AA66">
        <v>1</v>
      </c>
      <c r="AB66">
        <f>(2524/128000)*100</f>
        <v>1.971875</v>
      </c>
      <c r="AC66">
        <v>2</v>
      </c>
      <c r="AD66">
        <v>8</v>
      </c>
      <c r="AE66">
        <v>59</v>
      </c>
      <c r="AF66">
        <v>59</v>
      </c>
      <c r="AG66">
        <v>1</v>
      </c>
      <c r="AH66">
        <f>(3033/128000)*100</f>
        <v>2.3695312500000001</v>
      </c>
      <c r="AI66">
        <v>2</v>
      </c>
      <c r="AJ66" s="1" t="s">
        <v>448</v>
      </c>
      <c r="AK66" s="1" t="s">
        <v>449</v>
      </c>
      <c r="AL66" s="1">
        <v>8</v>
      </c>
    </row>
    <row r="67" spans="1:38" x14ac:dyDescent="0.25">
      <c r="A67" t="s">
        <v>26</v>
      </c>
      <c r="B67" t="s">
        <v>444</v>
      </c>
      <c r="C67" t="s">
        <v>447</v>
      </c>
      <c r="D67">
        <v>4</v>
      </c>
      <c r="E67">
        <v>7</v>
      </c>
      <c r="F67">
        <v>8</v>
      </c>
      <c r="G67">
        <v>260</v>
      </c>
      <c r="H67">
        <v>260</v>
      </c>
      <c r="I67">
        <v>1</v>
      </c>
      <c r="J67">
        <f>(660/128000)*100</f>
        <v>0.515625</v>
      </c>
      <c r="K67">
        <v>2.5</v>
      </c>
      <c r="L67">
        <v>7</v>
      </c>
      <c r="M67">
        <v>18</v>
      </c>
      <c r="N67">
        <f>18+15</f>
        <v>33</v>
      </c>
      <c r="O67">
        <v>2</v>
      </c>
      <c r="P67">
        <f>(1493/128000)*100</f>
        <v>1.1664062500000001</v>
      </c>
      <c r="Q67">
        <v>2</v>
      </c>
      <c r="R67">
        <v>6</v>
      </c>
      <c r="S67">
        <v>0</v>
      </c>
      <c r="T67">
        <v>0</v>
      </c>
      <c r="U67">
        <v>0</v>
      </c>
      <c r="V67">
        <f>(1493/128000)*100</f>
        <v>1.1664062500000001</v>
      </c>
      <c r="W67">
        <v>0</v>
      </c>
      <c r="X67">
        <v>9</v>
      </c>
      <c r="Y67">
        <v>0</v>
      </c>
      <c r="Z67">
        <v>0</v>
      </c>
      <c r="AA67">
        <v>0</v>
      </c>
      <c r="AB67">
        <f>(1493/128000)*100</f>
        <v>1.1664062500000001</v>
      </c>
      <c r="AC67">
        <v>0</v>
      </c>
      <c r="AD67">
        <v>8</v>
      </c>
      <c r="AE67">
        <v>14</v>
      </c>
      <c r="AF67">
        <f>14+59</f>
        <v>73</v>
      </c>
      <c r="AG67">
        <v>2</v>
      </c>
      <c r="AH67">
        <f>(2066/128000)*100</f>
        <v>1.6140625</v>
      </c>
      <c r="AI67">
        <v>2</v>
      </c>
      <c r="AJ67" s="1" t="s">
        <v>448</v>
      </c>
      <c r="AK67" s="1" t="s">
        <v>449</v>
      </c>
      <c r="AL67" s="1">
        <v>7</v>
      </c>
    </row>
    <row r="68" spans="1:38" x14ac:dyDescent="0.25">
      <c r="A68" t="s">
        <v>31</v>
      </c>
      <c r="B68" t="s">
        <v>444</v>
      </c>
      <c r="C68" t="s">
        <v>447</v>
      </c>
      <c r="D68">
        <v>4</v>
      </c>
      <c r="E68">
        <v>8</v>
      </c>
      <c r="F68">
        <v>6</v>
      </c>
      <c r="G68">
        <v>286</v>
      </c>
      <c r="H68">
        <v>286</v>
      </c>
      <c r="I68">
        <v>1</v>
      </c>
      <c r="J68">
        <f>(886/128000)*100</f>
        <v>0.69218749999999996</v>
      </c>
      <c r="K68">
        <v>2</v>
      </c>
      <c r="L68">
        <v>7</v>
      </c>
      <c r="M68">
        <v>11</v>
      </c>
      <c r="N68">
        <v>11</v>
      </c>
      <c r="O68">
        <v>1</v>
      </c>
      <c r="P68">
        <f>(1547/128000)*100</f>
        <v>1.2085937499999999</v>
      </c>
      <c r="Q68">
        <v>2.5</v>
      </c>
      <c r="R68">
        <v>7</v>
      </c>
      <c r="S68">
        <v>15</v>
      </c>
      <c r="T68">
        <v>15</v>
      </c>
      <c r="U68">
        <v>1</v>
      </c>
      <c r="V68">
        <f>(2162/128000)*100</f>
        <v>1.6890624999999999</v>
      </c>
      <c r="W68">
        <v>2</v>
      </c>
      <c r="X68">
        <v>10</v>
      </c>
      <c r="Y68">
        <v>0</v>
      </c>
      <c r="Z68">
        <v>0</v>
      </c>
      <c r="AA68">
        <v>0</v>
      </c>
      <c r="AB68">
        <f>(2162/128000)*100</f>
        <v>1.6890624999999999</v>
      </c>
      <c r="AC68">
        <v>0</v>
      </c>
      <c r="AD68">
        <v>10</v>
      </c>
      <c r="AE68">
        <v>18</v>
      </c>
      <c r="AF68">
        <v>18</v>
      </c>
      <c r="AG68">
        <v>1</v>
      </c>
      <c r="AH68">
        <f>(2580/128000)*100</f>
        <v>2.015625</v>
      </c>
      <c r="AI68">
        <v>2</v>
      </c>
      <c r="AJ68" s="1" t="s">
        <v>448</v>
      </c>
      <c r="AK68" s="1" t="s">
        <v>449</v>
      </c>
      <c r="AL68" s="1">
        <v>8</v>
      </c>
    </row>
    <row r="69" spans="1:38" x14ac:dyDescent="0.25">
      <c r="A69" t="s">
        <v>36</v>
      </c>
      <c r="B69" t="s">
        <v>444</v>
      </c>
      <c r="C69" t="s">
        <v>447</v>
      </c>
      <c r="D69">
        <v>4</v>
      </c>
      <c r="E69">
        <v>7</v>
      </c>
      <c r="F69">
        <v>7</v>
      </c>
      <c r="G69">
        <v>307</v>
      </c>
      <c r="H69">
        <f>307+7</f>
        <v>314</v>
      </c>
      <c r="I69">
        <v>2</v>
      </c>
      <c r="J69">
        <f>(914/128000)*100</f>
        <v>0.71406250000000004</v>
      </c>
      <c r="K69">
        <v>2</v>
      </c>
      <c r="L69">
        <v>8</v>
      </c>
      <c r="M69">
        <v>12</v>
      </c>
      <c r="N69">
        <v>12</v>
      </c>
      <c r="O69">
        <v>1</v>
      </c>
      <c r="P69">
        <f>(1626/128000)*100</f>
        <v>1.2703125</v>
      </c>
      <c r="Q69">
        <v>2.5</v>
      </c>
      <c r="R69">
        <v>8</v>
      </c>
      <c r="S69">
        <v>10</v>
      </c>
      <c r="T69">
        <v>10</v>
      </c>
      <c r="U69">
        <v>1</v>
      </c>
      <c r="V69">
        <f>(2136/128000)*100</f>
        <v>1.6687500000000002</v>
      </c>
      <c r="W69">
        <v>2</v>
      </c>
      <c r="X69">
        <v>10</v>
      </c>
      <c r="Y69">
        <v>1</v>
      </c>
      <c r="Z69">
        <v>1</v>
      </c>
      <c r="AA69">
        <v>1</v>
      </c>
      <c r="AB69">
        <f>(2737/128000)*100</f>
        <v>2.1382812499999999</v>
      </c>
      <c r="AC69">
        <v>1</v>
      </c>
      <c r="AD69">
        <v>10</v>
      </c>
      <c r="AE69">
        <v>7</v>
      </c>
      <c r="AF69">
        <v>7</v>
      </c>
      <c r="AG69">
        <v>1</v>
      </c>
      <c r="AH69">
        <f>(3344/128000)*100</f>
        <v>2.6124999999999998</v>
      </c>
      <c r="AI69">
        <v>2</v>
      </c>
      <c r="AJ69" s="1" t="s">
        <v>448</v>
      </c>
      <c r="AK69" s="1" t="s">
        <v>449</v>
      </c>
      <c r="AL69" s="1">
        <v>7</v>
      </c>
    </row>
    <row r="70" spans="1:38" x14ac:dyDescent="0.25">
      <c r="A70" t="s">
        <v>41</v>
      </c>
      <c r="B70" t="s">
        <v>444</v>
      </c>
      <c r="C70" t="s">
        <v>447</v>
      </c>
      <c r="D70">
        <v>4</v>
      </c>
      <c r="E70">
        <v>7</v>
      </c>
      <c r="F70">
        <v>9</v>
      </c>
      <c r="G70">
        <v>289</v>
      </c>
      <c r="H70">
        <v>289</v>
      </c>
      <c r="I70">
        <v>1</v>
      </c>
      <c r="J70">
        <f>(889/128000)*100</f>
        <v>0.69453125000000004</v>
      </c>
      <c r="K70">
        <v>2</v>
      </c>
      <c r="L70">
        <v>9</v>
      </c>
      <c r="M70">
        <v>6</v>
      </c>
      <c r="N70">
        <f>6+4</f>
        <v>10</v>
      </c>
      <c r="O70">
        <v>2</v>
      </c>
      <c r="P70">
        <f>(1899/128000)*100</f>
        <v>1.48359375</v>
      </c>
      <c r="Q70">
        <v>2</v>
      </c>
      <c r="R70">
        <v>0</v>
      </c>
      <c r="S70">
        <v>9</v>
      </c>
      <c r="T70">
        <v>9</v>
      </c>
      <c r="U70">
        <v>1</v>
      </c>
      <c r="V70">
        <f>(2558/128000)*100</f>
        <v>1.9984374999999999</v>
      </c>
      <c r="W70">
        <v>2</v>
      </c>
      <c r="X70">
        <v>7</v>
      </c>
      <c r="Y70">
        <v>11</v>
      </c>
      <c r="Z70">
        <v>11</v>
      </c>
      <c r="AA70">
        <v>1</v>
      </c>
      <c r="AB70">
        <f>(3369/128000)*100</f>
        <v>2.6320312500000003</v>
      </c>
      <c r="AC70">
        <v>2.5</v>
      </c>
      <c r="AD70">
        <v>9</v>
      </c>
      <c r="AE70">
        <v>8</v>
      </c>
      <c r="AF70">
        <v>8</v>
      </c>
      <c r="AG70">
        <v>1</v>
      </c>
      <c r="AH70">
        <f>(3877/128000)*100</f>
        <v>3.0289062499999999</v>
      </c>
      <c r="AI70">
        <v>2</v>
      </c>
      <c r="AJ70" s="1" t="s">
        <v>448</v>
      </c>
      <c r="AK70" s="1" t="s">
        <v>449</v>
      </c>
      <c r="AL70" s="1">
        <v>7</v>
      </c>
    </row>
    <row r="71" spans="1:38" x14ac:dyDescent="0.25">
      <c r="A71" t="s">
        <v>46</v>
      </c>
      <c r="B71" t="s">
        <v>444</v>
      </c>
      <c r="C71" t="s">
        <v>447</v>
      </c>
      <c r="D71">
        <v>4</v>
      </c>
      <c r="E71">
        <v>8</v>
      </c>
      <c r="F71">
        <v>6</v>
      </c>
      <c r="G71">
        <f>307+20</f>
        <v>327</v>
      </c>
      <c r="H71">
        <v>327</v>
      </c>
      <c r="I71">
        <v>1</v>
      </c>
      <c r="J71">
        <f>(877/128000)*100</f>
        <v>0.68515625000000002</v>
      </c>
      <c r="K71">
        <v>2</v>
      </c>
      <c r="L71">
        <v>6</v>
      </c>
      <c r="M71">
        <v>18</v>
      </c>
      <c r="N71">
        <v>18</v>
      </c>
      <c r="O71">
        <v>1</v>
      </c>
      <c r="P71">
        <f>(1395/128000)*100</f>
        <v>1.08984375</v>
      </c>
      <c r="Q71">
        <v>2</v>
      </c>
      <c r="R71">
        <v>6</v>
      </c>
      <c r="S71">
        <v>41</v>
      </c>
      <c r="T71">
        <v>41</v>
      </c>
      <c r="U71">
        <v>1</v>
      </c>
      <c r="V71">
        <f>(1836/128000)*100</f>
        <v>1.434375</v>
      </c>
      <c r="W71">
        <v>2</v>
      </c>
      <c r="X71">
        <v>10</v>
      </c>
      <c r="Y71">
        <v>38</v>
      </c>
      <c r="Z71">
        <v>38</v>
      </c>
      <c r="AA71">
        <v>1</v>
      </c>
      <c r="AB71">
        <f>(2524/128000)*100</f>
        <v>1.971875</v>
      </c>
      <c r="AC71">
        <v>2</v>
      </c>
      <c r="AD71">
        <v>10</v>
      </c>
      <c r="AE71">
        <v>59</v>
      </c>
      <c r="AF71">
        <v>59</v>
      </c>
      <c r="AG71">
        <v>1</v>
      </c>
      <c r="AH71">
        <f>(3033/128000)*100</f>
        <v>2.3695312500000001</v>
      </c>
      <c r="AI71">
        <v>2</v>
      </c>
      <c r="AJ71" s="1" t="s">
        <v>448</v>
      </c>
      <c r="AK71" s="1" t="s">
        <v>449</v>
      </c>
      <c r="AL71" s="1">
        <v>8</v>
      </c>
    </row>
    <row r="72" spans="1:38" x14ac:dyDescent="0.25">
      <c r="A72" t="s">
        <v>0</v>
      </c>
      <c r="B72" t="s">
        <v>441</v>
      </c>
      <c r="C72" t="s">
        <v>450</v>
      </c>
      <c r="D72">
        <v>4</v>
      </c>
      <c r="E72">
        <v>7</v>
      </c>
      <c r="F72">
        <v>8</v>
      </c>
      <c r="L72">
        <v>8</v>
      </c>
      <c r="R72">
        <v>6</v>
      </c>
      <c r="X72">
        <v>10</v>
      </c>
      <c r="AD72">
        <v>10</v>
      </c>
      <c r="AJ72" s="1" t="s">
        <v>448</v>
      </c>
      <c r="AK72" s="1" t="s">
        <v>449</v>
      </c>
      <c r="AL72" s="1">
        <v>7</v>
      </c>
    </row>
    <row r="73" spans="1:38" x14ac:dyDescent="0.25">
      <c r="A73" t="s">
        <v>7</v>
      </c>
      <c r="B73" t="s">
        <v>441</v>
      </c>
      <c r="C73" t="s">
        <v>450</v>
      </c>
      <c r="D73">
        <v>4</v>
      </c>
      <c r="E73">
        <v>8</v>
      </c>
      <c r="F73">
        <v>6</v>
      </c>
      <c r="L73">
        <v>6</v>
      </c>
      <c r="R73">
        <v>4</v>
      </c>
      <c r="X73">
        <v>6</v>
      </c>
      <c r="AD73">
        <v>6</v>
      </c>
      <c r="AJ73" s="1" t="s">
        <v>448</v>
      </c>
      <c r="AK73" s="1" t="s">
        <v>449</v>
      </c>
      <c r="AL73" s="1">
        <v>8</v>
      </c>
    </row>
    <row r="74" spans="1:38" x14ac:dyDescent="0.25">
      <c r="A74" t="s">
        <v>11</v>
      </c>
      <c r="B74" t="s">
        <v>441</v>
      </c>
      <c r="C74" t="s">
        <v>450</v>
      </c>
      <c r="D74">
        <v>4</v>
      </c>
      <c r="E74">
        <v>7</v>
      </c>
      <c r="F74">
        <v>2</v>
      </c>
      <c r="L74">
        <v>5</v>
      </c>
      <c r="R74">
        <v>2</v>
      </c>
      <c r="X74">
        <v>2</v>
      </c>
      <c r="AD74">
        <v>2</v>
      </c>
      <c r="AJ74" s="1" t="s">
        <v>448</v>
      </c>
      <c r="AK74" s="1" t="s">
        <v>449</v>
      </c>
      <c r="AL74" s="1">
        <v>7</v>
      </c>
    </row>
    <row r="75" spans="1:38" x14ac:dyDescent="0.25">
      <c r="A75" t="s">
        <v>16</v>
      </c>
      <c r="B75" t="s">
        <v>441</v>
      </c>
      <c r="C75" t="s">
        <v>450</v>
      </c>
      <c r="D75">
        <v>4</v>
      </c>
      <c r="E75">
        <v>8</v>
      </c>
      <c r="F75">
        <v>8</v>
      </c>
      <c r="L75">
        <v>8</v>
      </c>
      <c r="R75">
        <v>5</v>
      </c>
      <c r="X75">
        <v>3</v>
      </c>
      <c r="AD75">
        <v>10</v>
      </c>
      <c r="AJ75" s="1" t="s">
        <v>448</v>
      </c>
      <c r="AK75" s="1" t="s">
        <v>449</v>
      </c>
      <c r="AL75" s="1">
        <v>8</v>
      </c>
    </row>
    <row r="76" spans="1:38" x14ac:dyDescent="0.25">
      <c r="A76" t="s">
        <v>21</v>
      </c>
      <c r="B76" t="s">
        <v>441</v>
      </c>
      <c r="C76" t="s">
        <v>450</v>
      </c>
      <c r="D76">
        <v>4</v>
      </c>
      <c r="E76">
        <v>7</v>
      </c>
      <c r="F76">
        <v>9</v>
      </c>
      <c r="L76">
        <v>8</v>
      </c>
      <c r="R76">
        <v>0</v>
      </c>
      <c r="X76">
        <v>8</v>
      </c>
      <c r="AD76">
        <v>10</v>
      </c>
      <c r="AJ76" s="1" t="s">
        <v>448</v>
      </c>
      <c r="AK76" s="1" t="s">
        <v>449</v>
      </c>
      <c r="AL76" s="1">
        <v>7</v>
      </c>
    </row>
    <row r="77" spans="1:38" x14ac:dyDescent="0.25">
      <c r="A77" t="s">
        <v>26</v>
      </c>
      <c r="B77" t="s">
        <v>441</v>
      </c>
      <c r="C77" t="s">
        <v>450</v>
      </c>
      <c r="D77">
        <v>4</v>
      </c>
      <c r="E77">
        <v>8</v>
      </c>
      <c r="F77">
        <v>10</v>
      </c>
      <c r="L77">
        <v>10</v>
      </c>
      <c r="R77">
        <v>7</v>
      </c>
      <c r="X77">
        <v>10</v>
      </c>
      <c r="AD77">
        <v>7</v>
      </c>
      <c r="AJ77" s="1" t="s">
        <v>448</v>
      </c>
      <c r="AK77" s="1" t="s">
        <v>449</v>
      </c>
      <c r="AL77" s="1">
        <v>8</v>
      </c>
    </row>
    <row r="78" spans="1:38" x14ac:dyDescent="0.25">
      <c r="A78" t="s">
        <v>31</v>
      </c>
      <c r="B78" t="s">
        <v>441</v>
      </c>
      <c r="C78" t="s">
        <v>450</v>
      </c>
      <c r="D78">
        <v>4</v>
      </c>
      <c r="E78">
        <v>7</v>
      </c>
      <c r="F78">
        <v>10</v>
      </c>
      <c r="L78">
        <v>2</v>
      </c>
      <c r="R78">
        <v>0</v>
      </c>
      <c r="X78">
        <v>7</v>
      </c>
      <c r="AD78">
        <v>2</v>
      </c>
      <c r="AJ78" s="1" t="s">
        <v>448</v>
      </c>
      <c r="AK78" s="1" t="s">
        <v>449</v>
      </c>
      <c r="AL78" s="1">
        <v>7</v>
      </c>
    </row>
    <row r="79" spans="1:38" x14ac:dyDescent="0.25">
      <c r="A79" t="s">
        <v>36</v>
      </c>
      <c r="B79" t="s">
        <v>441</v>
      </c>
      <c r="C79" t="s">
        <v>450</v>
      </c>
      <c r="D79">
        <v>4</v>
      </c>
      <c r="E79">
        <v>8</v>
      </c>
      <c r="F79">
        <v>9</v>
      </c>
      <c r="L79">
        <v>6</v>
      </c>
      <c r="R79">
        <v>10</v>
      </c>
      <c r="X79">
        <v>10</v>
      </c>
      <c r="AD79">
        <v>10</v>
      </c>
      <c r="AJ79" s="1" t="s">
        <v>448</v>
      </c>
      <c r="AK79" s="1" t="s">
        <v>449</v>
      </c>
      <c r="AL79" s="1">
        <v>8</v>
      </c>
    </row>
    <row r="80" spans="1:38" x14ac:dyDescent="0.25">
      <c r="A80" t="s">
        <v>41</v>
      </c>
      <c r="B80" t="s">
        <v>441</v>
      </c>
      <c r="C80" t="s">
        <v>450</v>
      </c>
      <c r="D80">
        <v>4</v>
      </c>
      <c r="E80">
        <v>8</v>
      </c>
      <c r="F80">
        <v>10</v>
      </c>
      <c r="L80">
        <v>10</v>
      </c>
      <c r="R80">
        <v>0</v>
      </c>
      <c r="X80">
        <v>2</v>
      </c>
      <c r="AD80">
        <v>2</v>
      </c>
      <c r="AJ80" s="1" t="s">
        <v>448</v>
      </c>
      <c r="AK80" s="1" t="s">
        <v>449</v>
      </c>
      <c r="AL80" s="1">
        <v>8</v>
      </c>
    </row>
    <row r="81" spans="1:38" x14ac:dyDescent="0.25">
      <c r="A81" t="s">
        <v>46</v>
      </c>
      <c r="B81" t="s">
        <v>441</v>
      </c>
      <c r="C81" t="s">
        <v>450</v>
      </c>
      <c r="D81">
        <v>4</v>
      </c>
      <c r="E81">
        <v>7</v>
      </c>
      <c r="F81">
        <v>8</v>
      </c>
      <c r="L81">
        <v>2</v>
      </c>
      <c r="R81">
        <v>10</v>
      </c>
      <c r="X81">
        <v>10</v>
      </c>
      <c r="AD81">
        <v>5</v>
      </c>
      <c r="AJ81" s="1" t="s">
        <v>448</v>
      </c>
      <c r="AK81" s="1" t="s">
        <v>449</v>
      </c>
      <c r="AL81" s="1">
        <v>7</v>
      </c>
    </row>
    <row r="82" spans="1:38" x14ac:dyDescent="0.25">
      <c r="A82" t="s">
        <v>0</v>
      </c>
      <c r="B82" t="s">
        <v>441</v>
      </c>
      <c r="C82" t="s">
        <v>451</v>
      </c>
      <c r="D82">
        <v>5</v>
      </c>
      <c r="E82">
        <v>10</v>
      </c>
      <c r="F82">
        <v>3</v>
      </c>
      <c r="L82">
        <v>3</v>
      </c>
      <c r="R82">
        <v>5</v>
      </c>
      <c r="X82">
        <v>6</v>
      </c>
      <c r="AD82">
        <v>8</v>
      </c>
      <c r="AJ82" s="1" t="s">
        <v>448</v>
      </c>
      <c r="AK82" s="1" t="s">
        <v>452</v>
      </c>
      <c r="AL82" s="1">
        <v>10</v>
      </c>
    </row>
    <row r="83" spans="1:38" x14ac:dyDescent="0.25">
      <c r="A83" t="s">
        <v>7</v>
      </c>
      <c r="B83" t="s">
        <v>441</v>
      </c>
      <c r="C83" t="s">
        <v>451</v>
      </c>
      <c r="D83">
        <v>5</v>
      </c>
      <c r="E83">
        <v>9</v>
      </c>
      <c r="F83">
        <v>6</v>
      </c>
      <c r="L83">
        <v>6</v>
      </c>
      <c r="R83">
        <v>4</v>
      </c>
      <c r="X83">
        <v>6</v>
      </c>
      <c r="AD83">
        <v>6</v>
      </c>
      <c r="AJ83" s="1" t="s">
        <v>448</v>
      </c>
      <c r="AK83" s="1" t="s">
        <v>452</v>
      </c>
      <c r="AL83" s="1">
        <v>9</v>
      </c>
    </row>
    <row r="84" spans="1:38" x14ac:dyDescent="0.25">
      <c r="A84" t="s">
        <v>11</v>
      </c>
      <c r="B84" t="s">
        <v>441</v>
      </c>
      <c r="C84" t="s">
        <v>451</v>
      </c>
      <c r="D84">
        <v>5</v>
      </c>
      <c r="E84">
        <v>10</v>
      </c>
      <c r="F84">
        <v>7</v>
      </c>
      <c r="L84">
        <v>7</v>
      </c>
      <c r="R84">
        <v>10</v>
      </c>
      <c r="X84">
        <v>10</v>
      </c>
      <c r="AD84">
        <v>10</v>
      </c>
      <c r="AJ84" s="1" t="s">
        <v>448</v>
      </c>
      <c r="AK84" s="1" t="s">
        <v>452</v>
      </c>
      <c r="AL84" s="1">
        <v>10</v>
      </c>
    </row>
    <row r="85" spans="1:38" x14ac:dyDescent="0.25">
      <c r="A85" t="s">
        <v>16</v>
      </c>
      <c r="B85" t="s">
        <v>441</v>
      </c>
      <c r="C85" t="s">
        <v>451</v>
      </c>
      <c r="D85">
        <v>5</v>
      </c>
      <c r="E85">
        <v>9</v>
      </c>
      <c r="F85">
        <v>5</v>
      </c>
      <c r="L85">
        <v>5</v>
      </c>
      <c r="R85">
        <v>2</v>
      </c>
      <c r="X85">
        <v>4</v>
      </c>
      <c r="AD85">
        <v>2</v>
      </c>
      <c r="AJ85" s="1" t="s">
        <v>448</v>
      </c>
      <c r="AK85" s="1" t="s">
        <v>452</v>
      </c>
      <c r="AL85" s="1">
        <v>9</v>
      </c>
    </row>
    <row r="86" spans="1:38" x14ac:dyDescent="0.25">
      <c r="A86" t="s">
        <v>21</v>
      </c>
      <c r="B86" t="s">
        <v>441</v>
      </c>
      <c r="C86" t="s">
        <v>451</v>
      </c>
      <c r="D86">
        <v>5</v>
      </c>
      <c r="E86">
        <v>10</v>
      </c>
      <c r="F86">
        <v>0</v>
      </c>
      <c r="L86">
        <v>4</v>
      </c>
      <c r="R86">
        <v>0</v>
      </c>
      <c r="X86">
        <v>5</v>
      </c>
      <c r="AD86">
        <v>5</v>
      </c>
      <c r="AJ86" s="1" t="s">
        <v>448</v>
      </c>
      <c r="AK86" s="1" t="s">
        <v>452</v>
      </c>
      <c r="AL86" s="1">
        <v>10</v>
      </c>
    </row>
    <row r="87" spans="1:38" x14ac:dyDescent="0.25">
      <c r="A87" t="s">
        <v>26</v>
      </c>
      <c r="B87" t="s">
        <v>441</v>
      </c>
      <c r="C87" t="s">
        <v>451</v>
      </c>
      <c r="D87">
        <v>5</v>
      </c>
      <c r="E87">
        <v>9</v>
      </c>
      <c r="F87">
        <v>8</v>
      </c>
      <c r="L87">
        <v>10</v>
      </c>
      <c r="R87">
        <v>10</v>
      </c>
      <c r="X87">
        <v>4</v>
      </c>
      <c r="AD87">
        <v>2</v>
      </c>
      <c r="AJ87" s="1" t="s">
        <v>448</v>
      </c>
      <c r="AK87" s="1" t="s">
        <v>452</v>
      </c>
      <c r="AL87" s="1">
        <v>9</v>
      </c>
    </row>
    <row r="88" spans="1:38" x14ac:dyDescent="0.25">
      <c r="A88" t="s">
        <v>31</v>
      </c>
      <c r="B88" t="s">
        <v>441</v>
      </c>
      <c r="C88" t="s">
        <v>451</v>
      </c>
      <c r="D88">
        <v>5</v>
      </c>
      <c r="E88">
        <v>10</v>
      </c>
      <c r="F88">
        <v>5</v>
      </c>
      <c r="L88">
        <v>5</v>
      </c>
      <c r="R88">
        <v>3</v>
      </c>
      <c r="X88">
        <v>8</v>
      </c>
      <c r="AD88">
        <v>5</v>
      </c>
      <c r="AJ88" s="1" t="s">
        <v>448</v>
      </c>
      <c r="AK88" s="1" t="s">
        <v>452</v>
      </c>
      <c r="AL88" s="1">
        <v>10</v>
      </c>
    </row>
    <row r="89" spans="1:38" x14ac:dyDescent="0.25">
      <c r="A89" t="s">
        <v>36</v>
      </c>
      <c r="B89" t="s">
        <v>441</v>
      </c>
      <c r="C89" t="s">
        <v>451</v>
      </c>
      <c r="D89">
        <v>5</v>
      </c>
      <c r="E89">
        <v>9</v>
      </c>
      <c r="F89">
        <v>0</v>
      </c>
      <c r="L89">
        <v>2</v>
      </c>
      <c r="R89">
        <v>2</v>
      </c>
      <c r="X89">
        <v>2</v>
      </c>
      <c r="AD89">
        <v>2</v>
      </c>
      <c r="AJ89" s="1" t="s">
        <v>448</v>
      </c>
      <c r="AK89" s="1" t="s">
        <v>452</v>
      </c>
      <c r="AL89" s="1">
        <v>9</v>
      </c>
    </row>
    <row r="90" spans="1:38" x14ac:dyDescent="0.25">
      <c r="A90" t="s">
        <v>41</v>
      </c>
      <c r="B90" t="s">
        <v>441</v>
      </c>
      <c r="C90" t="s">
        <v>451</v>
      </c>
      <c r="D90">
        <v>5</v>
      </c>
      <c r="E90">
        <v>9</v>
      </c>
      <c r="F90">
        <v>6</v>
      </c>
      <c r="L90">
        <v>0</v>
      </c>
      <c r="R90">
        <v>0</v>
      </c>
      <c r="X90">
        <v>4</v>
      </c>
      <c r="AD90">
        <v>2</v>
      </c>
      <c r="AJ90" s="1" t="s">
        <v>448</v>
      </c>
      <c r="AK90" s="1" t="s">
        <v>452</v>
      </c>
      <c r="AL90" s="1">
        <v>9</v>
      </c>
    </row>
    <row r="91" spans="1:38" x14ac:dyDescent="0.25">
      <c r="A91" t="s">
        <v>46</v>
      </c>
      <c r="B91" t="s">
        <v>441</v>
      </c>
      <c r="C91" t="s">
        <v>451</v>
      </c>
      <c r="D91">
        <v>5</v>
      </c>
      <c r="E91">
        <v>10</v>
      </c>
      <c r="F91">
        <v>6</v>
      </c>
      <c r="L91">
        <v>8</v>
      </c>
      <c r="R91">
        <v>2</v>
      </c>
      <c r="X91">
        <v>6</v>
      </c>
      <c r="AD91">
        <v>10</v>
      </c>
      <c r="AJ91" s="1" t="s">
        <v>448</v>
      </c>
      <c r="AK91" s="1" t="s">
        <v>452</v>
      </c>
      <c r="AL91" s="1">
        <v>10</v>
      </c>
    </row>
    <row r="92" spans="1:38" x14ac:dyDescent="0.25">
      <c r="A92" t="s">
        <v>0</v>
      </c>
      <c r="B92" t="s">
        <v>444</v>
      </c>
      <c r="C92" t="s">
        <v>453</v>
      </c>
      <c r="D92">
        <v>5</v>
      </c>
      <c r="E92">
        <v>9</v>
      </c>
      <c r="F92">
        <v>3</v>
      </c>
      <c r="G92">
        <f>226+23</f>
        <v>249</v>
      </c>
      <c r="H92">
        <v>249</v>
      </c>
      <c r="I92">
        <v>1</v>
      </c>
      <c r="J92">
        <f>(649/128000)*100</f>
        <v>0.50703125000000004</v>
      </c>
      <c r="K92">
        <v>2</v>
      </c>
      <c r="L92">
        <v>3</v>
      </c>
      <c r="M92">
        <v>18</v>
      </c>
      <c r="N92">
        <v>18</v>
      </c>
      <c r="O92">
        <v>1</v>
      </c>
      <c r="P92">
        <f>(1117/128000)*100</f>
        <v>0.87265625000000002</v>
      </c>
      <c r="Q92">
        <v>2</v>
      </c>
      <c r="R92">
        <v>2</v>
      </c>
      <c r="S92">
        <v>41</v>
      </c>
      <c r="T92">
        <v>41</v>
      </c>
      <c r="U92">
        <v>1</v>
      </c>
      <c r="V92">
        <f>(1558/128000)*100</f>
        <v>1.2171875000000001</v>
      </c>
      <c r="W92">
        <v>2</v>
      </c>
      <c r="X92">
        <v>2</v>
      </c>
      <c r="Y92">
        <v>22</v>
      </c>
      <c r="Z92">
        <v>22</v>
      </c>
      <c r="AA92">
        <v>1</v>
      </c>
      <c r="AB92">
        <f>(2380/128000)*100</f>
        <v>1.859375</v>
      </c>
      <c r="AC92">
        <v>2</v>
      </c>
      <c r="AD92">
        <v>4</v>
      </c>
      <c r="AE92">
        <v>39</v>
      </c>
      <c r="AF92">
        <v>39</v>
      </c>
      <c r="AG92">
        <v>1</v>
      </c>
      <c r="AH92">
        <f>(2919/128000)*100</f>
        <v>2.2804687499999998</v>
      </c>
      <c r="AI92">
        <v>2</v>
      </c>
      <c r="AJ92" s="1" t="s">
        <v>448</v>
      </c>
      <c r="AK92" s="1" t="s">
        <v>452</v>
      </c>
      <c r="AL92" s="1">
        <v>9</v>
      </c>
    </row>
    <row r="93" spans="1:38" x14ac:dyDescent="0.25">
      <c r="A93" t="s">
        <v>7</v>
      </c>
      <c r="B93" t="s">
        <v>444</v>
      </c>
      <c r="C93" t="s">
        <v>453</v>
      </c>
      <c r="D93">
        <v>5</v>
      </c>
      <c r="E93">
        <v>10</v>
      </c>
      <c r="F93">
        <v>4</v>
      </c>
      <c r="G93">
        <v>307</v>
      </c>
      <c r="H93">
        <v>307</v>
      </c>
      <c r="I93">
        <v>1</v>
      </c>
      <c r="J93">
        <f>((307+101)/128000)*100</f>
        <v>0.31874999999999998</v>
      </c>
      <c r="K93">
        <v>2</v>
      </c>
      <c r="L93">
        <v>3</v>
      </c>
      <c r="M93">
        <v>0</v>
      </c>
      <c r="N93">
        <v>0</v>
      </c>
      <c r="O93">
        <v>0</v>
      </c>
      <c r="P93">
        <f>((307+101)/128000)*100</f>
        <v>0.31874999999999998</v>
      </c>
      <c r="Q93">
        <v>0</v>
      </c>
      <c r="R93">
        <v>3</v>
      </c>
      <c r="S93">
        <v>0</v>
      </c>
      <c r="T93">
        <v>0</v>
      </c>
      <c r="U93">
        <v>0</v>
      </c>
      <c r="V93">
        <f>((307+101)/128000)*100</f>
        <v>0.31874999999999998</v>
      </c>
      <c r="W93">
        <v>0</v>
      </c>
      <c r="X93">
        <v>9</v>
      </c>
      <c r="Y93">
        <v>0</v>
      </c>
      <c r="Z93">
        <v>0</v>
      </c>
      <c r="AA93">
        <v>0</v>
      </c>
      <c r="AB93">
        <f>((307+101)/128000)*100</f>
        <v>0.31874999999999998</v>
      </c>
      <c r="AC93">
        <v>0</v>
      </c>
      <c r="AD93">
        <v>2</v>
      </c>
      <c r="AE93">
        <v>0</v>
      </c>
      <c r="AF93">
        <v>0</v>
      </c>
      <c r="AG93">
        <v>0</v>
      </c>
      <c r="AH93">
        <f>((307+101)/128000)*100</f>
        <v>0.31874999999999998</v>
      </c>
      <c r="AI93">
        <v>0</v>
      </c>
      <c r="AJ93" s="1" t="s">
        <v>448</v>
      </c>
      <c r="AK93" s="1" t="s">
        <v>452</v>
      </c>
      <c r="AL93" s="1">
        <v>10</v>
      </c>
    </row>
    <row r="94" spans="1:38" x14ac:dyDescent="0.25">
      <c r="A94" t="s">
        <v>11</v>
      </c>
      <c r="B94" t="s">
        <v>444</v>
      </c>
      <c r="C94" t="s">
        <v>453</v>
      </c>
      <c r="D94">
        <v>5</v>
      </c>
      <c r="E94">
        <v>9</v>
      </c>
      <c r="F94">
        <v>4</v>
      </c>
      <c r="G94">
        <v>341</v>
      </c>
      <c r="H94">
        <v>374</v>
      </c>
      <c r="I94">
        <v>2</v>
      </c>
      <c r="J94">
        <f>(774/128000)*100</f>
        <v>0.60468750000000004</v>
      </c>
      <c r="K94">
        <v>2</v>
      </c>
      <c r="L94">
        <v>8</v>
      </c>
      <c r="M94">
        <v>10</v>
      </c>
      <c r="N94">
        <v>10</v>
      </c>
      <c r="O94">
        <v>1</v>
      </c>
      <c r="P94">
        <f>(1234/128000)*100</f>
        <v>0.96406250000000004</v>
      </c>
      <c r="Q94">
        <v>2</v>
      </c>
      <c r="R94">
        <v>10</v>
      </c>
      <c r="S94">
        <v>17</v>
      </c>
      <c r="T94">
        <v>17</v>
      </c>
      <c r="U94">
        <v>1</v>
      </c>
      <c r="V94">
        <f>(1651/128000)*100</f>
        <v>1.28984375</v>
      </c>
      <c r="W94">
        <v>2</v>
      </c>
      <c r="X94">
        <v>10</v>
      </c>
      <c r="Y94">
        <v>15</v>
      </c>
      <c r="Z94">
        <v>23</v>
      </c>
      <c r="AA94">
        <v>2</v>
      </c>
      <c r="AB94">
        <f>(3274/128000)*100</f>
        <v>2.5578124999999998</v>
      </c>
      <c r="AC94">
        <v>3</v>
      </c>
      <c r="AD94">
        <v>8</v>
      </c>
      <c r="AE94">
        <v>28</v>
      </c>
      <c r="AF94">
        <v>28</v>
      </c>
      <c r="AG94">
        <v>1</v>
      </c>
      <c r="AH94">
        <f>(3802/128000)*100</f>
        <v>2.9703124999999999</v>
      </c>
      <c r="AI94">
        <v>2</v>
      </c>
      <c r="AJ94" s="1" t="s">
        <v>448</v>
      </c>
      <c r="AK94" s="1" t="s">
        <v>452</v>
      </c>
      <c r="AL94" s="1">
        <v>9</v>
      </c>
    </row>
    <row r="95" spans="1:38" x14ac:dyDescent="0.25">
      <c r="A95" t="s">
        <v>16</v>
      </c>
      <c r="B95" t="s">
        <v>444</v>
      </c>
      <c r="C95" t="s">
        <v>453</v>
      </c>
      <c r="D95">
        <v>5</v>
      </c>
      <c r="E95">
        <v>10</v>
      </c>
      <c r="F95">
        <v>8</v>
      </c>
      <c r="G95">
        <v>346</v>
      </c>
      <c r="H95">
        <f>346+41</f>
        <v>387</v>
      </c>
      <c r="I95">
        <v>2</v>
      </c>
      <c r="J95">
        <f>(1187/128000)*100</f>
        <v>0.92734375000000002</v>
      </c>
      <c r="K95">
        <v>2</v>
      </c>
      <c r="L95">
        <v>7</v>
      </c>
      <c r="M95">
        <v>23</v>
      </c>
      <c r="N95">
        <v>23</v>
      </c>
      <c r="O95">
        <v>1</v>
      </c>
      <c r="P95">
        <f>(1660/128000)*100</f>
        <v>1.296875</v>
      </c>
      <c r="Q95">
        <v>2</v>
      </c>
      <c r="R95">
        <v>8</v>
      </c>
      <c r="S95">
        <v>41</v>
      </c>
      <c r="T95">
        <f>41+36</f>
        <v>77</v>
      </c>
      <c r="U95">
        <v>2</v>
      </c>
      <c r="V95">
        <f>(2537/128000)*100</f>
        <v>1.9820312499999999</v>
      </c>
      <c r="W95">
        <v>2</v>
      </c>
      <c r="X95">
        <v>10</v>
      </c>
      <c r="Y95">
        <v>29</v>
      </c>
      <c r="Z95">
        <f>29+14+14+26+7+136</f>
        <v>226</v>
      </c>
      <c r="AA95">
        <v>6</v>
      </c>
      <c r="AB95">
        <f>(6263/128000)*100</f>
        <v>4.8929687499999996</v>
      </c>
      <c r="AC95">
        <v>2</v>
      </c>
      <c r="AD95">
        <v>10</v>
      </c>
      <c r="AE95">
        <v>45</v>
      </c>
      <c r="AF95">
        <v>45</v>
      </c>
      <c r="AG95">
        <v>1</v>
      </c>
      <c r="AH95">
        <f>(6808/128000)*100</f>
        <v>5.3187499999999996</v>
      </c>
      <c r="AI95">
        <v>2</v>
      </c>
      <c r="AJ95" s="1" t="s">
        <v>448</v>
      </c>
      <c r="AK95" s="1" t="s">
        <v>452</v>
      </c>
      <c r="AL95" s="1">
        <v>10</v>
      </c>
    </row>
    <row r="96" spans="1:38" x14ac:dyDescent="0.25">
      <c r="A96" t="s">
        <v>21</v>
      </c>
      <c r="B96" t="s">
        <v>444</v>
      </c>
      <c r="C96" t="s">
        <v>453</v>
      </c>
      <c r="D96">
        <v>5</v>
      </c>
      <c r="E96">
        <v>9</v>
      </c>
      <c r="F96">
        <v>3</v>
      </c>
      <c r="G96">
        <v>183</v>
      </c>
      <c r="H96">
        <v>183</v>
      </c>
      <c r="I96">
        <v>1</v>
      </c>
      <c r="J96">
        <f>(765/128000)*100</f>
        <v>0.59765625</v>
      </c>
      <c r="K96">
        <v>2</v>
      </c>
      <c r="L96">
        <v>4</v>
      </c>
      <c r="M96">
        <v>10</v>
      </c>
      <c r="N96">
        <v>10</v>
      </c>
      <c r="O96">
        <v>1</v>
      </c>
      <c r="P96">
        <f>(1233/128000)*100</f>
        <v>0.96328125000000009</v>
      </c>
      <c r="Q96">
        <v>2</v>
      </c>
      <c r="R96">
        <v>10</v>
      </c>
      <c r="S96">
        <v>40</v>
      </c>
      <c r="T96">
        <v>40</v>
      </c>
      <c r="U96">
        <v>1</v>
      </c>
      <c r="V96">
        <f>(1674/128000)*100</f>
        <v>1.3078125</v>
      </c>
      <c r="W96">
        <v>2</v>
      </c>
      <c r="X96">
        <v>10</v>
      </c>
      <c r="Y96">
        <v>17</v>
      </c>
      <c r="Z96">
        <v>17</v>
      </c>
      <c r="AA96">
        <v>1</v>
      </c>
      <c r="AB96">
        <f>(2512/128000)*100</f>
        <v>1.9624999999999999</v>
      </c>
      <c r="AC96">
        <v>2</v>
      </c>
      <c r="AD96">
        <v>10</v>
      </c>
      <c r="AE96">
        <v>59</v>
      </c>
      <c r="AF96">
        <v>59</v>
      </c>
      <c r="AG96">
        <v>1</v>
      </c>
      <c r="AH96">
        <f>(3071/128000)*100</f>
        <v>2.3992187500000002</v>
      </c>
      <c r="AI96">
        <v>2.5</v>
      </c>
      <c r="AJ96" s="1" t="s">
        <v>448</v>
      </c>
      <c r="AK96" s="1" t="s">
        <v>452</v>
      </c>
      <c r="AL96" s="1">
        <v>9</v>
      </c>
    </row>
    <row r="97" spans="1:38" x14ac:dyDescent="0.25">
      <c r="A97" t="s">
        <v>26</v>
      </c>
      <c r="B97" t="s">
        <v>444</v>
      </c>
      <c r="C97" t="s">
        <v>453</v>
      </c>
      <c r="D97">
        <v>5</v>
      </c>
      <c r="E97">
        <v>10</v>
      </c>
      <c r="F97">
        <v>3</v>
      </c>
      <c r="G97">
        <v>480</v>
      </c>
      <c r="H97">
        <f>480+4+5</f>
        <v>489</v>
      </c>
      <c r="I97">
        <v>3</v>
      </c>
      <c r="J97">
        <f>((1289)/128000)*100</f>
        <v>1.00703125</v>
      </c>
      <c r="K97">
        <v>2</v>
      </c>
      <c r="L97">
        <v>5</v>
      </c>
      <c r="M97">
        <v>19</v>
      </c>
      <c r="N97">
        <f>19+19+40</f>
        <v>78</v>
      </c>
      <c r="O97">
        <v>3</v>
      </c>
      <c r="P97">
        <f>((2567)/128000)*100</f>
        <v>2.0054687500000004</v>
      </c>
      <c r="Q97">
        <v>2</v>
      </c>
      <c r="R97">
        <v>2</v>
      </c>
      <c r="S97">
        <v>55</v>
      </c>
      <c r="T97">
        <v>55</v>
      </c>
      <c r="U97">
        <v>1</v>
      </c>
      <c r="V97">
        <f>((3122)/128000)*100</f>
        <v>2.4390624999999999</v>
      </c>
      <c r="W97">
        <v>2</v>
      </c>
      <c r="X97">
        <v>6</v>
      </c>
      <c r="Y97">
        <v>0</v>
      </c>
      <c r="Z97">
        <v>0</v>
      </c>
      <c r="AA97">
        <v>0</v>
      </c>
      <c r="AB97">
        <f>((3122)/128000)*100</f>
        <v>2.4390624999999999</v>
      </c>
      <c r="AC97">
        <v>0</v>
      </c>
      <c r="AD97">
        <v>3</v>
      </c>
      <c r="AE97">
        <v>0</v>
      </c>
      <c r="AF97">
        <v>0</v>
      </c>
      <c r="AG97">
        <v>0</v>
      </c>
      <c r="AH97">
        <f>((3122)/128000)*100</f>
        <v>2.4390624999999999</v>
      </c>
      <c r="AI97">
        <v>0</v>
      </c>
      <c r="AJ97" s="1" t="s">
        <v>448</v>
      </c>
      <c r="AK97" s="1" t="s">
        <v>452</v>
      </c>
      <c r="AL97" s="1">
        <v>10</v>
      </c>
    </row>
    <row r="98" spans="1:38" x14ac:dyDescent="0.25">
      <c r="A98" t="s">
        <v>31</v>
      </c>
      <c r="B98" t="s">
        <v>444</v>
      </c>
      <c r="C98" t="s">
        <v>453</v>
      </c>
      <c r="D98">
        <v>5</v>
      </c>
      <c r="E98">
        <v>9</v>
      </c>
      <c r="F98">
        <v>10</v>
      </c>
      <c r="G98">
        <v>341</v>
      </c>
      <c r="H98">
        <v>341</v>
      </c>
      <c r="I98">
        <v>1</v>
      </c>
      <c r="J98">
        <f>(941/128000)*100</f>
        <v>0.73515624999999996</v>
      </c>
      <c r="K98">
        <v>2</v>
      </c>
      <c r="L98">
        <v>10</v>
      </c>
      <c r="M98">
        <v>11</v>
      </c>
      <c r="N98">
        <v>11</v>
      </c>
      <c r="O98">
        <v>1</v>
      </c>
      <c r="P98">
        <f>(1602/128000)*100</f>
        <v>1.2515625000000001</v>
      </c>
      <c r="Q98">
        <v>2</v>
      </c>
      <c r="R98">
        <v>0</v>
      </c>
      <c r="S98">
        <v>15</v>
      </c>
      <c r="T98">
        <v>15</v>
      </c>
      <c r="U98">
        <v>1</v>
      </c>
      <c r="V98">
        <f>(2217/128000)*100</f>
        <v>1.7320312500000001</v>
      </c>
      <c r="W98">
        <v>2</v>
      </c>
      <c r="X98">
        <v>3</v>
      </c>
      <c r="Y98">
        <v>0</v>
      </c>
      <c r="Z98">
        <v>0</v>
      </c>
      <c r="AA98">
        <v>0</v>
      </c>
      <c r="AB98">
        <f>(2217/128000)*100</f>
        <v>1.7320312500000001</v>
      </c>
      <c r="AC98">
        <v>0</v>
      </c>
      <c r="AD98">
        <v>5</v>
      </c>
      <c r="AE98">
        <v>18</v>
      </c>
      <c r="AF98">
        <v>18</v>
      </c>
      <c r="AG98">
        <v>1</v>
      </c>
      <c r="AH98">
        <f>(2635/128000)*100</f>
        <v>2.05859375</v>
      </c>
      <c r="AI98">
        <v>2</v>
      </c>
      <c r="AJ98" s="1" t="s">
        <v>448</v>
      </c>
      <c r="AK98" s="1" t="s">
        <v>452</v>
      </c>
      <c r="AL98" s="1">
        <v>9</v>
      </c>
    </row>
    <row r="99" spans="1:38" x14ac:dyDescent="0.25">
      <c r="A99" t="s">
        <v>36</v>
      </c>
      <c r="B99" t="s">
        <v>444</v>
      </c>
      <c r="C99" t="s">
        <v>453</v>
      </c>
      <c r="D99">
        <v>5</v>
      </c>
      <c r="E99">
        <v>10</v>
      </c>
      <c r="F99">
        <v>5</v>
      </c>
      <c r="G99">
        <v>395</v>
      </c>
      <c r="H99">
        <f>395+9</f>
        <v>404</v>
      </c>
      <c r="I99">
        <v>2</v>
      </c>
      <c r="J99">
        <f>(1054/128000)*100</f>
        <v>0.82343750000000004</v>
      </c>
      <c r="K99">
        <v>2</v>
      </c>
      <c r="L99">
        <v>3</v>
      </c>
      <c r="M99">
        <v>11</v>
      </c>
      <c r="N99">
        <v>11</v>
      </c>
      <c r="O99">
        <v>1</v>
      </c>
      <c r="P99">
        <f>(1665/128000)*100</f>
        <v>1.30078125</v>
      </c>
      <c r="Q99">
        <v>2</v>
      </c>
      <c r="R99">
        <v>2</v>
      </c>
      <c r="S99">
        <v>14</v>
      </c>
      <c r="T99">
        <v>14</v>
      </c>
      <c r="U99">
        <v>1</v>
      </c>
      <c r="V99">
        <f>(2079/128000)*100</f>
        <v>1.62421875</v>
      </c>
      <c r="W99">
        <v>2</v>
      </c>
      <c r="X99">
        <v>10</v>
      </c>
      <c r="Y99">
        <v>4</v>
      </c>
      <c r="Z99">
        <v>4</v>
      </c>
      <c r="AA99">
        <v>1</v>
      </c>
      <c r="AB99">
        <f>(2883/128000)*100</f>
        <v>2.2523437500000001</v>
      </c>
      <c r="AC99">
        <v>2</v>
      </c>
      <c r="AD99">
        <v>10</v>
      </c>
      <c r="AE99">
        <v>0</v>
      </c>
      <c r="AF99">
        <v>0</v>
      </c>
      <c r="AG99">
        <v>0</v>
      </c>
      <c r="AH99">
        <f>(2883/128000)*100</f>
        <v>2.2523437500000001</v>
      </c>
      <c r="AI99">
        <v>0</v>
      </c>
      <c r="AJ99" s="1" t="s">
        <v>448</v>
      </c>
      <c r="AK99" s="1" t="s">
        <v>452</v>
      </c>
      <c r="AL99" s="1">
        <v>10</v>
      </c>
    </row>
    <row r="100" spans="1:38" x14ac:dyDescent="0.25">
      <c r="A100" t="s">
        <v>41</v>
      </c>
      <c r="B100" t="s">
        <v>444</v>
      </c>
      <c r="C100" t="s">
        <v>453</v>
      </c>
      <c r="D100">
        <v>5</v>
      </c>
      <c r="E100">
        <v>10</v>
      </c>
      <c r="F100">
        <v>3</v>
      </c>
      <c r="G100">
        <v>341</v>
      </c>
      <c r="H100">
        <v>341</v>
      </c>
      <c r="I100">
        <v>1</v>
      </c>
      <c r="J100">
        <f>((741)/128000)*100</f>
        <v>0.57890624999999996</v>
      </c>
      <c r="K100">
        <v>2</v>
      </c>
      <c r="L100">
        <v>3</v>
      </c>
      <c r="M100">
        <v>10</v>
      </c>
      <c r="N100">
        <v>10</v>
      </c>
      <c r="O100">
        <v>1</v>
      </c>
      <c r="P100">
        <f>((1201)/128000)*100</f>
        <v>0.93828125000000007</v>
      </c>
      <c r="Q100">
        <v>2</v>
      </c>
      <c r="R100">
        <v>0</v>
      </c>
      <c r="S100">
        <v>14</v>
      </c>
      <c r="T100">
        <v>14</v>
      </c>
      <c r="U100">
        <v>1</v>
      </c>
      <c r="V100">
        <f>((1615)/128000)*100</f>
        <v>1.26171875</v>
      </c>
      <c r="W100">
        <v>2</v>
      </c>
      <c r="X100">
        <v>5</v>
      </c>
      <c r="Y100">
        <v>11</v>
      </c>
      <c r="Z100">
        <v>11</v>
      </c>
      <c r="AA100">
        <v>1</v>
      </c>
      <c r="AB100">
        <f>((2426)/128000)*100</f>
        <v>1.8953125000000002</v>
      </c>
      <c r="AC100">
        <v>2</v>
      </c>
      <c r="AD100">
        <v>2</v>
      </c>
      <c r="AE100">
        <v>8</v>
      </c>
      <c r="AF100">
        <v>8</v>
      </c>
      <c r="AG100">
        <v>0</v>
      </c>
      <c r="AH100">
        <v>2.9340000000000002</v>
      </c>
      <c r="AI100">
        <v>2</v>
      </c>
      <c r="AJ100" s="1" t="s">
        <v>448</v>
      </c>
      <c r="AK100" s="1" t="s">
        <v>452</v>
      </c>
      <c r="AL100" s="1">
        <v>10</v>
      </c>
    </row>
    <row r="101" spans="1:38" x14ac:dyDescent="0.25">
      <c r="A101" t="s">
        <v>46</v>
      </c>
      <c r="B101" t="s">
        <v>444</v>
      </c>
      <c r="C101" t="s">
        <v>453</v>
      </c>
      <c r="D101">
        <v>5</v>
      </c>
      <c r="E101">
        <v>9</v>
      </c>
      <c r="F101">
        <v>3</v>
      </c>
      <c r="G101">
        <v>341</v>
      </c>
      <c r="H101">
        <f>341+24</f>
        <v>365</v>
      </c>
      <c r="I101">
        <v>2</v>
      </c>
      <c r="J101">
        <f>(765/128000)*100</f>
        <v>0.59765625</v>
      </c>
      <c r="K101">
        <v>2</v>
      </c>
      <c r="L101">
        <v>3</v>
      </c>
      <c r="M101">
        <v>18</v>
      </c>
      <c r="N101">
        <v>18</v>
      </c>
      <c r="O101">
        <v>1</v>
      </c>
      <c r="P101">
        <f>(1233/128000)*100</f>
        <v>0.96328125000000009</v>
      </c>
      <c r="Q101">
        <v>2</v>
      </c>
      <c r="R101">
        <v>8</v>
      </c>
      <c r="S101">
        <v>41</v>
      </c>
      <c r="T101">
        <v>41</v>
      </c>
      <c r="U101">
        <v>1</v>
      </c>
      <c r="V101">
        <f>(1674/128000)*100</f>
        <v>1.3078125</v>
      </c>
      <c r="W101">
        <v>2</v>
      </c>
      <c r="X101">
        <v>10</v>
      </c>
      <c r="Y101">
        <v>38</v>
      </c>
      <c r="Z101">
        <v>38</v>
      </c>
      <c r="AA101">
        <v>1</v>
      </c>
      <c r="AB101">
        <f>(2512/128000)*100</f>
        <v>1.9624999999999999</v>
      </c>
      <c r="AC101">
        <v>2</v>
      </c>
      <c r="AD101">
        <v>10</v>
      </c>
      <c r="AE101">
        <v>59</v>
      </c>
      <c r="AF101">
        <v>59</v>
      </c>
      <c r="AG101">
        <v>1</v>
      </c>
      <c r="AH101">
        <f>(3071/128000)*100</f>
        <v>2.3992187500000002</v>
      </c>
      <c r="AI101">
        <v>2</v>
      </c>
      <c r="AJ101" s="1" t="s">
        <v>448</v>
      </c>
      <c r="AK101" s="1" t="s">
        <v>452</v>
      </c>
      <c r="AL101" s="1">
        <v>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A115F4-4794-4B17-9E38-3331866731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dataset_RQ1</vt:lpstr>
      <vt:lpstr>dataset_RQ2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Stavros A</dc:creator>
  <cp:lastModifiedBy>Stavros A</cp:lastModifiedBy>
  <dcterms:created xsi:type="dcterms:W3CDTF">2015-06-05T18:19:34Z</dcterms:created>
  <dcterms:modified xsi:type="dcterms:W3CDTF">2026-02-01T18:59:35Z</dcterms:modified>
</cp:coreProperties>
</file>